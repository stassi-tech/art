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Artistes et nationalité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45"/>
  <sheetViews>
    <sheetView tabSelected="1" topLeftCell="A385" workbookViewId="0">
      <selection activeCell="F129" sqref="F129"/>
    </sheetView>
  </sheetViews>
  <sheetFormatPr baseColWidth="10" defaultColWidth="9.140625" defaultRowHeight="15"/>
  <cols>
    <col width="36.42578125" customWidth="1" min="1" max="1"/>
    <col width="29" customWidth="1" min="2" max="2"/>
    <col width="25" customWidth="1" min="3" max="3"/>
    <col width="19.7109375" bestFit="1" customWidth="1" min="6" max="6"/>
  </cols>
  <sheetData>
    <row r="1">
      <c r="A1" s="2" t="inlineStr">
        <is>
          <t>Artiste</t>
        </is>
      </c>
      <c r="B1" s="2" t="inlineStr">
        <is>
          <t>Nationalité</t>
        </is>
      </c>
      <c r="C1" s="2" t="inlineStr">
        <is>
          <t>Art(s)</t>
        </is>
      </c>
      <c r="D1" s="2" t="inlineStr">
        <is>
          <t>Siècle(s)</t>
        </is>
      </c>
      <c r="U1" s="3" t="inlineStr">
        <is>
          <t>Zone (calculée)</t>
        </is>
      </c>
    </row>
    <row r="2">
      <c r="A2" s="2" t="inlineStr">
        <is>
          <t>ADAM KRAFT</t>
        </is>
      </c>
      <c r="B2" s="2" t="inlineStr">
        <is>
          <t>allemande</t>
        </is>
      </c>
      <c r="C2" s="2" t="inlineStr">
        <is>
          <t>sculpture</t>
        </is>
      </c>
      <c r="D2" s="2" t="inlineStr">
        <is>
          <t>15e</t>
        </is>
      </c>
      <c r="U2">
        <f>IF(ISNUMBER(SEARCH("fran",B2)),"France",IF(OR(ISNUMBER(SEARCH("italien",B2)),ISNUMBER(SEARCH("espagn",B2)),ISNUMBER(SEARCH("catalan",B2)),ISNUMBER(SEARCH("flamand",B2)),ISNUMBER(SEARCH("belge",B2)),ISNUMBER(SEARCH("hollandais",B2)),ISNUMBER(SEARCH("néerlandais",B2)),ISNUMBER(SEARCH("allemand",B2)),ISNUMBER(SEARCH("autrichien",B2)),ISNUMBER(SEARCH("suisse",B2)),ISNUMBER(SEARCH("anglais",B2)),ISNUMBER(SEARCH("britannique",B2)),ISNUMBER(SEARCH("écossais",B2)),ISNUMBER(SEARCH("irlandais",B2)),ISNUMBER(SEARCH("russe",B2)),ISNUMBER(SEARCH("portugais",B2)),ISNUMBER(SEARCH("danois",B2)),ISNUMBER(SEARCH("norvégien",B2)),ISNUMBER(SEARCH("suédois",B2)),ISNUMBER(SEARCH("finlandais",B2)),ISNUMBER(SEARCH("polonais",B2)),ISNUMBER(SEARCH("tchèque",B2)),ISNUMBER(SEARCH("hongrois",B2)),ISNUMBER(SEARCH("grec",B2)),ISNUMBER(SEARCH("byzantin",B2)),ISNUMBER(SEARCH("croate",B2)),ISNUMBER(SEARCH("ukrainien",B2)),ISNUMBER(SEARCH("bulgare",B2)),ISNUMBER(SEARCH("biélorusse",B2)),ISNUMBER(SEARCH("maltais",B2))),"Autres pays d'Europe",IF(OR(ISNUMBER(SEARCH("américain",B2)),ISNUMBER(SEARCH("mexicain",B2)),ISNUMBER(SEARCH("canadien",B2)),ISNUMBER(SEARCH("brésilien",B2)),ISNUMBER(SEARCH("argentin",B2))),"Amérique",IF(OR(ISNUMBER(SEARCH("chinois",B2)),ISNUMBER(SEARCH("japonais",B2)),ISNUMBER(SEARCH("coréen",B2)),ISNUMBER(SEARCH("indien",B2)),ISNUMBER(SEARCH("persan",B2)),ISNUMBER(SEARCH("iranien",B2))),"Asie","(non classée)"))))</f>
        <v/>
      </c>
    </row>
    <row r="3">
      <c r="A3" s="2" t="inlineStr">
        <is>
          <t>ADOLF VON HILDEBRAND</t>
        </is>
      </c>
      <c r="B3" s="2" t="inlineStr">
        <is>
          <t>allemande</t>
        </is>
      </c>
      <c r="C3" s="2" t="inlineStr">
        <is>
          <t>sculpture</t>
        </is>
      </c>
      <c r="D3" s="2" t="inlineStr">
        <is>
          <t>19e</t>
        </is>
      </c>
      <c r="U3">
        <f>IF(ISNUMBER(SEARCH("fran",B3)),"France",IF(OR(ISNUMBER(SEARCH("italien",B3)),ISNUMBER(SEARCH("espagn",B3)),ISNUMBER(SEARCH("catalan",B3)),ISNUMBER(SEARCH("flamand",B3)),ISNUMBER(SEARCH("belge",B3)),ISNUMBER(SEARCH("hollandais",B3)),ISNUMBER(SEARCH("néerlandais",B3)),ISNUMBER(SEARCH("allemand",B3)),ISNUMBER(SEARCH("autrichien",B3)),ISNUMBER(SEARCH("suisse",B3)),ISNUMBER(SEARCH("anglais",B3)),ISNUMBER(SEARCH("britannique",B3)),ISNUMBER(SEARCH("écossais",B3)),ISNUMBER(SEARCH("irlandais",B3)),ISNUMBER(SEARCH("russe",B3)),ISNUMBER(SEARCH("portugais",B3)),ISNUMBER(SEARCH("danois",B3)),ISNUMBER(SEARCH("norvégien",B3)),ISNUMBER(SEARCH("suédois",B3)),ISNUMBER(SEARCH("finlandais",B3)),ISNUMBER(SEARCH("polonais",B3)),ISNUMBER(SEARCH("tchèque",B3)),ISNUMBER(SEARCH("hongrois",B3)),ISNUMBER(SEARCH("grec",B3)),ISNUMBER(SEARCH("byzantin",B3)),ISNUMBER(SEARCH("croate",B3)),ISNUMBER(SEARCH("ukrainien",B3)),ISNUMBER(SEARCH("bulgare",B3)),ISNUMBER(SEARCH("biélorusse",B3)),ISNUMBER(SEARCH("maltais",B3))),"Autres pays d'Europe",IF(OR(ISNUMBER(SEARCH("américain",B3)),ISNUMBER(SEARCH("mexicain",B3)),ISNUMBER(SEARCH("canadien",B3)),ISNUMBER(SEARCH("brésilien",B3)),ISNUMBER(SEARCH("argentin",B3))),"Amérique",IF(OR(ISNUMBER(SEARCH("chinois",B3)),ISNUMBER(SEARCH("japonais",B3)),ISNUMBER(SEARCH("coréen",B3)),ISNUMBER(SEARCH("indien",B3)),ISNUMBER(SEARCH("persan",B3)),ISNUMBER(SEARCH("iranien",B3))),"Asie","(non classée)"))))</f>
        <v/>
      </c>
    </row>
    <row r="4">
      <c r="A4" s="2" t="inlineStr">
        <is>
          <t>ADOLFO WILDT</t>
        </is>
      </c>
      <c r="B4" s="2" t="inlineStr">
        <is>
          <t>italienne</t>
        </is>
      </c>
      <c r="C4" s="2" t="inlineStr">
        <is>
          <t>sculpture</t>
        </is>
      </c>
      <c r="D4" s="2" t="inlineStr">
        <is>
          <t>20e</t>
        </is>
      </c>
      <c r="U4">
        <f>IF(ISNUMBER(SEARCH("fran",B4)),"France",IF(OR(ISNUMBER(SEARCH("italien",B4)),ISNUMBER(SEARCH("espagn",B4)),ISNUMBER(SEARCH("catalan",B4)),ISNUMBER(SEARCH("flamand",B4)),ISNUMBER(SEARCH("belge",B4)),ISNUMBER(SEARCH("hollandais",B4)),ISNUMBER(SEARCH("néerlandais",B4)),ISNUMBER(SEARCH("allemand",B4)),ISNUMBER(SEARCH("autrichien",B4)),ISNUMBER(SEARCH("suisse",B4)),ISNUMBER(SEARCH("anglais",B4)),ISNUMBER(SEARCH("britannique",B4)),ISNUMBER(SEARCH("écossais",B4)),ISNUMBER(SEARCH("irlandais",B4)),ISNUMBER(SEARCH("russe",B4)),ISNUMBER(SEARCH("portugais",B4)),ISNUMBER(SEARCH("danois",B4)),ISNUMBER(SEARCH("norvégien",B4)),ISNUMBER(SEARCH("suédois",B4)),ISNUMBER(SEARCH("finlandais",B4)),ISNUMBER(SEARCH("polonais",B4)),ISNUMBER(SEARCH("tchèque",B4)),ISNUMBER(SEARCH("hongrois",B4)),ISNUMBER(SEARCH("grec",B4)),ISNUMBER(SEARCH("byzantin",B4)),ISNUMBER(SEARCH("croate",B4)),ISNUMBER(SEARCH("ukrainien",B4)),ISNUMBER(SEARCH("bulgare",B4)),ISNUMBER(SEARCH("biélorusse",B4)),ISNUMBER(SEARCH("maltais",B4))),"Autres pays d'Europe",IF(OR(ISNUMBER(SEARCH("américain",B4)),ISNUMBER(SEARCH("mexicain",B4)),ISNUMBER(SEARCH("canadien",B4)),ISNUMBER(SEARCH("brésilien",B4)),ISNUMBER(SEARCH("argentin",B4))),"Amérique",IF(OR(ISNUMBER(SEARCH("chinois",B4)),ISNUMBER(SEARCH("japonais",B4)),ISNUMBER(SEARCH("coréen",B4)),ISNUMBER(SEARCH("indien",B4)),ISNUMBER(SEARCH("persan",B4)),ISNUMBER(SEARCH("iranien",B4))),"Asie","(non classée)"))))</f>
        <v/>
      </c>
    </row>
    <row r="5">
      <c r="A5" s="2" t="inlineStr">
        <is>
          <t>ADRIAEN BROUWER</t>
        </is>
      </c>
      <c r="B5" s="2" t="inlineStr">
        <is>
          <t>hollandaise (Pays-Bas)</t>
        </is>
      </c>
      <c r="C5" s="2" t="inlineStr">
        <is>
          <t>peinture</t>
        </is>
      </c>
      <c r="D5" s="2" t="inlineStr">
        <is>
          <t>17e</t>
        </is>
      </c>
      <c r="U5">
        <f>IF(ISNUMBER(SEARCH("fran",B5)),"France",IF(OR(ISNUMBER(SEARCH("italien",B5)),ISNUMBER(SEARCH("espagn",B5)),ISNUMBER(SEARCH("catalan",B5)),ISNUMBER(SEARCH("flamand",B5)),ISNUMBER(SEARCH("belge",B5)),ISNUMBER(SEARCH("hollandais",B5)),ISNUMBER(SEARCH("néerlandais",B5)),ISNUMBER(SEARCH("allemand",B5)),ISNUMBER(SEARCH("autrichien",B5)),ISNUMBER(SEARCH("suisse",B5)),ISNUMBER(SEARCH("anglais",B5)),ISNUMBER(SEARCH("britannique",B5)),ISNUMBER(SEARCH("écossais",B5)),ISNUMBER(SEARCH("irlandais",B5)),ISNUMBER(SEARCH("russe",B5)),ISNUMBER(SEARCH("portugais",B5)),ISNUMBER(SEARCH("danois",B5)),ISNUMBER(SEARCH("norvégien",B5)),ISNUMBER(SEARCH("suédois",B5)),ISNUMBER(SEARCH("finlandais",B5)),ISNUMBER(SEARCH("polonais",B5)),ISNUMBER(SEARCH("tchèque",B5)),ISNUMBER(SEARCH("hongrois",B5)),ISNUMBER(SEARCH("grec",B5)),ISNUMBER(SEARCH("byzantin",B5)),ISNUMBER(SEARCH("croate",B5)),ISNUMBER(SEARCH("ukrainien",B5)),ISNUMBER(SEARCH("bulgare",B5)),ISNUMBER(SEARCH("biélorusse",B5)),ISNUMBER(SEARCH("maltais",B5))),"Autres pays d'Europe",IF(OR(ISNUMBER(SEARCH("américain",B5)),ISNUMBER(SEARCH("mexicain",B5)),ISNUMBER(SEARCH("canadien",B5)),ISNUMBER(SEARCH("brésilien",B5)),ISNUMBER(SEARCH("argentin",B5))),"Amérique",IF(OR(ISNUMBER(SEARCH("chinois",B5)),ISNUMBER(SEARCH("japonais",B5)),ISNUMBER(SEARCH("coréen",B5)),ISNUMBER(SEARCH("indien",B5)),ISNUMBER(SEARCH("persan",B5)),ISNUMBER(SEARCH("iranien",B5))),"Asie","(non classée)"))))</f>
        <v/>
      </c>
    </row>
    <row r="6">
      <c r="A6" s="2" t="inlineStr">
        <is>
          <t>ADRIAEN DE VRIES</t>
        </is>
      </c>
      <c r="B6" s="2" t="inlineStr">
        <is>
          <t>hollandaise (Pays-Bas)</t>
        </is>
      </c>
      <c r="C6" s="2" t="inlineStr">
        <is>
          <t>sculpture</t>
        </is>
      </c>
      <c r="D6" s="2" t="inlineStr">
        <is>
          <t>16e</t>
        </is>
      </c>
      <c r="F6" s="1" t="inlineStr">
        <is>
          <t>NOMBRES D'ARTISTES REPRESENTEES</t>
        </is>
      </c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5" t="n"/>
      <c r="U6">
        <f>IF(ISNUMBER(SEARCH("fran",B6)),"France",IF(OR(ISNUMBER(SEARCH("italien",B6)),ISNUMBER(SEARCH("espagn",B6)),ISNUMBER(SEARCH("catalan",B6)),ISNUMBER(SEARCH("flamand",B6)),ISNUMBER(SEARCH("belge",B6)),ISNUMBER(SEARCH("hollandais",B6)),ISNUMBER(SEARCH("néerlandais",B6)),ISNUMBER(SEARCH("allemand",B6)),ISNUMBER(SEARCH("autrichien",B6)),ISNUMBER(SEARCH("suisse",B6)),ISNUMBER(SEARCH("anglais",B6)),ISNUMBER(SEARCH("britannique",B6)),ISNUMBER(SEARCH("écossais",B6)),ISNUMBER(SEARCH("irlandais",B6)),ISNUMBER(SEARCH("russe",B6)),ISNUMBER(SEARCH("portugais",B6)),ISNUMBER(SEARCH("danois",B6)),ISNUMBER(SEARCH("norvégien",B6)),ISNUMBER(SEARCH("suédois",B6)),ISNUMBER(SEARCH("finlandais",B6)),ISNUMBER(SEARCH("polonais",B6)),ISNUMBER(SEARCH("tchèque",B6)),ISNUMBER(SEARCH("hongrois",B6)),ISNUMBER(SEARCH("grec",B6)),ISNUMBER(SEARCH("byzantin",B6)),ISNUMBER(SEARCH("croate",B6)),ISNUMBER(SEARCH("ukrainien",B6)),ISNUMBER(SEARCH("bulgare",B6)),ISNUMBER(SEARCH("biélorusse",B6)),ISNUMBER(SEARCH("maltais",B6))),"Autres pays d'Europe",IF(OR(ISNUMBER(SEARCH("américain",B6)),ISNUMBER(SEARCH("mexicain",B6)),ISNUMBER(SEARCH("canadien",B6)),ISNUMBER(SEARCH("brésilien",B6)),ISNUMBER(SEARCH("argentin",B6))),"Amérique",IF(OR(ISNUMBER(SEARCH("chinois",B6)),ISNUMBER(SEARCH("japonais",B6)),ISNUMBER(SEARCH("coréen",B6)),ISNUMBER(SEARCH("indien",B6)),ISNUMBER(SEARCH("persan",B6)),ISNUMBER(SEARCH("iranien",B6))),"Asie","(non classée)"))))</f>
        <v/>
      </c>
    </row>
    <row r="7">
      <c r="A7" s="2" t="inlineStr">
        <is>
          <t>ADRIAEN VAN OSTADE</t>
        </is>
      </c>
      <c r="B7" s="2" t="inlineStr">
        <is>
          <t>hollandaise (Pays-Bas)</t>
        </is>
      </c>
      <c r="C7" s="2" t="inlineStr">
        <is>
          <t>peinture</t>
        </is>
      </c>
      <c r="D7" s="2" t="inlineStr">
        <is>
          <t>17e</t>
        </is>
      </c>
      <c r="F7" s="2" t="n"/>
      <c r="G7" s="1" t="n">
        <v>14</v>
      </c>
      <c r="H7" s="5" t="n"/>
      <c r="I7" s="1" t="n">
        <v>15</v>
      </c>
      <c r="J7" s="5" t="n"/>
      <c r="K7" s="1" t="n">
        <v>16</v>
      </c>
      <c r="L7" s="5" t="n"/>
      <c r="M7" s="1" t="n">
        <v>17</v>
      </c>
      <c r="N7" s="5" t="n"/>
      <c r="O7" s="1" t="n">
        <v>18</v>
      </c>
      <c r="P7" s="5" t="n"/>
      <c r="Q7" s="1" t="n">
        <v>19</v>
      </c>
      <c r="R7" s="5" t="n"/>
      <c r="S7" s="1" t="n">
        <v>20</v>
      </c>
      <c r="T7" s="5" t="n"/>
      <c r="U7">
        <f>IF(ISNUMBER(SEARCH("fran",B7)),"France",IF(OR(ISNUMBER(SEARCH("italien",B7)),ISNUMBER(SEARCH("espagn",B7)),ISNUMBER(SEARCH("catalan",B7)),ISNUMBER(SEARCH("flamand",B7)),ISNUMBER(SEARCH("belge",B7)),ISNUMBER(SEARCH("hollandais",B7)),ISNUMBER(SEARCH("néerlandais",B7)),ISNUMBER(SEARCH("allemand",B7)),ISNUMBER(SEARCH("autrichien",B7)),ISNUMBER(SEARCH("suisse",B7)),ISNUMBER(SEARCH("anglais",B7)),ISNUMBER(SEARCH("britannique",B7)),ISNUMBER(SEARCH("écossais",B7)),ISNUMBER(SEARCH("irlandais",B7)),ISNUMBER(SEARCH("russe",B7)),ISNUMBER(SEARCH("portugais",B7)),ISNUMBER(SEARCH("danois",B7)),ISNUMBER(SEARCH("norvégien",B7)),ISNUMBER(SEARCH("suédois",B7)),ISNUMBER(SEARCH("finlandais",B7)),ISNUMBER(SEARCH("polonais",B7)),ISNUMBER(SEARCH("tchèque",B7)),ISNUMBER(SEARCH("hongrois",B7)),ISNUMBER(SEARCH("grec",B7)),ISNUMBER(SEARCH("byzantin",B7)),ISNUMBER(SEARCH("croate",B7)),ISNUMBER(SEARCH("ukrainien",B7)),ISNUMBER(SEARCH("bulgare",B7)),ISNUMBER(SEARCH("biélorusse",B7)),ISNUMBER(SEARCH("maltais",B7))),"Autres pays d'Europe",IF(OR(ISNUMBER(SEARCH("américain",B7)),ISNUMBER(SEARCH("mexicain",B7)),ISNUMBER(SEARCH("canadien",B7)),ISNUMBER(SEARCH("brésilien",B7)),ISNUMBER(SEARCH("argentin",B7))),"Amérique",IF(OR(ISNUMBER(SEARCH("chinois",B7)),ISNUMBER(SEARCH("japonais",B7)),ISNUMBER(SEARCH("coréen",B7)),ISNUMBER(SEARCH("indien",B7)),ISNUMBER(SEARCH("persan",B7)),ISNUMBER(SEARCH("iranien",B7))),"Asie","(non classée)"))))</f>
        <v/>
      </c>
    </row>
    <row r="8">
      <c r="A8" s="2" t="inlineStr">
        <is>
          <t>ADÈLE D'AFFRY (PSEUDO MARCELLO)</t>
        </is>
      </c>
      <c r="B8" s="2" t="inlineStr">
        <is>
          <t>suisse</t>
        </is>
      </c>
      <c r="C8" s="2" t="inlineStr">
        <is>
          <t>sculpture</t>
        </is>
      </c>
      <c r="D8" s="2" t="inlineStr">
        <is>
          <t>19e</t>
        </is>
      </c>
      <c r="F8" s="2" t="n"/>
      <c r="G8" s="2" t="inlineStr">
        <is>
          <t>peinture</t>
        </is>
      </c>
      <c r="H8" s="2" t="inlineStr">
        <is>
          <t>sculpture.</t>
        </is>
      </c>
      <c r="I8" s="2" t="inlineStr">
        <is>
          <t>peinture</t>
        </is>
      </c>
      <c r="J8" s="2" t="inlineStr">
        <is>
          <t>sculpture.</t>
        </is>
      </c>
      <c r="K8" s="2" t="inlineStr">
        <is>
          <t>peinture</t>
        </is>
      </c>
      <c r="L8" s="2" t="inlineStr">
        <is>
          <t>sculpture.</t>
        </is>
      </c>
      <c r="M8" s="2" t="inlineStr">
        <is>
          <t>peinture</t>
        </is>
      </c>
      <c r="N8" s="2" t="inlineStr">
        <is>
          <t>sculpture.</t>
        </is>
      </c>
      <c r="O8" s="2" t="inlineStr">
        <is>
          <t>peinture</t>
        </is>
      </c>
      <c r="P8" s="2" t="inlineStr">
        <is>
          <t>sculpture.</t>
        </is>
      </c>
      <c r="Q8" s="2" t="inlineStr">
        <is>
          <t>peinture</t>
        </is>
      </c>
      <c r="R8" s="2" t="inlineStr">
        <is>
          <t>sculpture.</t>
        </is>
      </c>
      <c r="S8" s="2" t="inlineStr">
        <is>
          <t>peinture</t>
        </is>
      </c>
      <c r="T8" s="2" t="inlineStr">
        <is>
          <t>sculpture.</t>
        </is>
      </c>
      <c r="U8">
        <f>IF(ISNUMBER(SEARCH("fran",B8)),"France",IF(OR(ISNUMBER(SEARCH("italien",B8)),ISNUMBER(SEARCH("espagn",B8)),ISNUMBER(SEARCH("catalan",B8)),ISNUMBER(SEARCH("flamand",B8)),ISNUMBER(SEARCH("belge",B8)),ISNUMBER(SEARCH("hollandais",B8)),ISNUMBER(SEARCH("néerlandais",B8)),ISNUMBER(SEARCH("allemand",B8)),ISNUMBER(SEARCH("autrichien",B8)),ISNUMBER(SEARCH("suisse",B8)),ISNUMBER(SEARCH("anglais",B8)),ISNUMBER(SEARCH("britannique",B8)),ISNUMBER(SEARCH("écossais",B8)),ISNUMBER(SEARCH("irlandais",B8)),ISNUMBER(SEARCH("russe",B8)),ISNUMBER(SEARCH("portugais",B8)),ISNUMBER(SEARCH("danois",B8)),ISNUMBER(SEARCH("norvégien",B8)),ISNUMBER(SEARCH("suédois",B8)),ISNUMBER(SEARCH("finlandais",B8)),ISNUMBER(SEARCH("polonais",B8)),ISNUMBER(SEARCH("tchèque",B8)),ISNUMBER(SEARCH("hongrois",B8)),ISNUMBER(SEARCH("grec",B8)),ISNUMBER(SEARCH("byzantin",B8)),ISNUMBER(SEARCH("croate",B8)),ISNUMBER(SEARCH("ukrainien",B8)),ISNUMBER(SEARCH("bulgare",B8)),ISNUMBER(SEARCH("biélorusse",B8)),ISNUMBER(SEARCH("maltais",B8))),"Autres pays d'Europe",IF(OR(ISNUMBER(SEARCH("américain",B8)),ISNUMBER(SEARCH("mexicain",B8)),ISNUMBER(SEARCH("canadien",B8)),ISNUMBER(SEARCH("brésilien",B8)),ISNUMBER(SEARCH("argentin",B8))),"Amérique",IF(OR(ISNUMBER(SEARCH("chinois",B8)),ISNUMBER(SEARCH("japonais",B8)),ISNUMBER(SEARCH("coréen",B8)),ISNUMBER(SEARCH("indien",B8)),ISNUMBER(SEARCH("persan",B8)),ISNUMBER(SEARCH("iranien",B8))),"Asie","(non classée)"))))</f>
        <v/>
      </c>
    </row>
    <row r="9">
      <c r="A9" s="2" t="inlineStr">
        <is>
          <t>ADÉLAÏDE LABILLE-GUIARD</t>
        </is>
      </c>
      <c r="B9" s="2" t="inlineStr">
        <is>
          <t>française</t>
        </is>
      </c>
      <c r="C9" s="2" t="inlineStr">
        <is>
          <t>peinture</t>
        </is>
      </c>
      <c r="D9" s="2" t="inlineStr">
        <is>
          <t>18e</t>
        </is>
      </c>
      <c r="F9" s="2" t="inlineStr">
        <is>
          <t>France</t>
        </is>
      </c>
      <c r="G9" s="2">
        <f>COUNTIFS($U$2:$U$745,"France",$C$2:$C$745,"*peinture*",$D$2:$D$745,"*14e*")</f>
        <v/>
      </c>
      <c r="H9" s="2">
        <f>COUNTIFS($U$2:$U$745,"France",$C$2:$C$745,"*sculpture*",$D$2:$D$745,"*14e*")</f>
        <v/>
      </c>
      <c r="I9" s="2">
        <f>COUNTIFS($U$2:$U$745,"France",$C$2:$C$745,"*peinture*",$D$2:$D$745,"*15e*")</f>
        <v/>
      </c>
      <c r="J9" s="2">
        <f>COUNTIFS($U$2:$U$745,"France",$C$2:$C$745,"*sculpture*",$D$2:$D$745,"*15e*")</f>
        <v/>
      </c>
      <c r="K9" s="2">
        <f>COUNTIFS($U$2:$U$745,"France",$C$2:$C$745,"*peinture*",$D$2:$D$745,"*16e*")</f>
        <v/>
      </c>
      <c r="L9" s="2">
        <f>COUNTIFS($U$2:$U$745,"France",$C$2:$C$745,"*sculpture*",$D$2:$D$745,"*16e*")</f>
        <v/>
      </c>
      <c r="M9" s="2">
        <f>COUNTIFS($U$2:$U$745,"France",$C$2:$C$745,"*peinture*",$D$2:$D$745,"*17e*")</f>
        <v/>
      </c>
      <c r="N9" s="2">
        <f>COUNTIFS($U$2:$U$745,"France",$C$2:$C$745,"*sculpture*",$D$2:$D$745,"*17e*")</f>
        <v/>
      </c>
      <c r="O9" s="2">
        <f>COUNTIFS($U$2:$U$745,"France",$C$2:$C$745,"*peinture*",$D$2:$D$745,"*18e*")</f>
        <v/>
      </c>
      <c r="P9" s="2">
        <f>COUNTIFS($U$2:$U$745,"France",$C$2:$C$745,"*sculpture*",$D$2:$D$745,"*18e*")</f>
        <v/>
      </c>
      <c r="Q9" s="2">
        <f>COUNTIFS($U$2:$U$745,"France",$C$2:$C$745,"*peinture*",$D$2:$D$745,"*19e*")</f>
        <v/>
      </c>
      <c r="R9" s="2">
        <f>COUNTIFS($U$2:$U$745,"France",$C$2:$C$745,"*sculpture*",$D$2:$D$745,"*19e*")</f>
        <v/>
      </c>
      <c r="S9" s="2">
        <f>COUNTIFS($U$2:$U$745,"France",$C$2:$C$745,"*peinture*",$D$2:$D$745,"*20e*")</f>
        <v/>
      </c>
      <c r="T9" s="2">
        <f>COUNTIFS($U$2:$U$745,"France",$C$2:$C$745,"*sculpture*",$D$2:$D$745,"*20e*")</f>
        <v/>
      </c>
      <c r="U9">
        <f>IF(ISNUMBER(SEARCH("fran",B9)),"France",IF(OR(ISNUMBER(SEARCH("italien",B9)),ISNUMBER(SEARCH("espagn",B9)),ISNUMBER(SEARCH("catalan",B9)),ISNUMBER(SEARCH("flamand",B9)),ISNUMBER(SEARCH("belge",B9)),ISNUMBER(SEARCH("hollandais",B9)),ISNUMBER(SEARCH("néerlandais",B9)),ISNUMBER(SEARCH("allemand",B9)),ISNUMBER(SEARCH("autrichien",B9)),ISNUMBER(SEARCH("suisse",B9)),ISNUMBER(SEARCH("anglais",B9)),ISNUMBER(SEARCH("britannique",B9)),ISNUMBER(SEARCH("écossais",B9)),ISNUMBER(SEARCH("irlandais",B9)),ISNUMBER(SEARCH("russe",B9)),ISNUMBER(SEARCH("portugais",B9)),ISNUMBER(SEARCH("danois",B9)),ISNUMBER(SEARCH("norvégien",B9)),ISNUMBER(SEARCH("suédois",B9)),ISNUMBER(SEARCH("finlandais",B9)),ISNUMBER(SEARCH("polonais",B9)),ISNUMBER(SEARCH("tchèque",B9)),ISNUMBER(SEARCH("hongrois",B9)),ISNUMBER(SEARCH("grec",B9)),ISNUMBER(SEARCH("byzantin",B9)),ISNUMBER(SEARCH("croate",B9)),ISNUMBER(SEARCH("ukrainien",B9)),ISNUMBER(SEARCH("bulgare",B9)),ISNUMBER(SEARCH("biélorusse",B9)),ISNUMBER(SEARCH("maltais",B9))),"Autres pays d'Europe",IF(OR(ISNUMBER(SEARCH("américain",B9)),ISNUMBER(SEARCH("mexicain",B9)),ISNUMBER(SEARCH("canadien",B9)),ISNUMBER(SEARCH("brésilien",B9)),ISNUMBER(SEARCH("argentin",B9))),"Amérique",IF(OR(ISNUMBER(SEARCH("chinois",B9)),ISNUMBER(SEARCH("japonais",B9)),ISNUMBER(SEARCH("coréen",B9)),ISNUMBER(SEARCH("indien",B9)),ISNUMBER(SEARCH("persan",B9)),ISNUMBER(SEARCH("iranien",B9))),"Asie","(non classée)"))))</f>
        <v/>
      </c>
    </row>
    <row r="10">
      <c r="A10" s="2" t="inlineStr">
        <is>
          <t>AELBERT CUYP</t>
        </is>
      </c>
      <c r="B10" s="2" t="inlineStr">
        <is>
          <t>hollandaise (Pays-Bas)</t>
        </is>
      </c>
      <c r="C10" s="2" t="inlineStr">
        <is>
          <t>peinture</t>
        </is>
      </c>
      <c r="D10" s="2" t="inlineStr">
        <is>
          <t>17e</t>
        </is>
      </c>
      <c r="F10" s="2" t="inlineStr">
        <is>
          <t>Autres pays d'Europe</t>
        </is>
      </c>
      <c r="G10" s="2">
        <f>COUNTIFS($U$2:$U$745,"Autres pays d'Europe",$C$2:$C$745,"*peinture*",$D$2:$D$745,"*14e*")</f>
        <v/>
      </c>
      <c r="H10" s="2">
        <f>COUNTIFS($U$2:$U$745,"Autres pays d'Europe",$C$2:$C$745,"*sculpture*",$D$2:$D$745,"*14e*")</f>
        <v/>
      </c>
      <c r="I10" s="2">
        <f>COUNTIFS($U$2:$U$745,"Autres pays d'Europe",$C$2:$C$745,"*peinture*",$D$2:$D$745,"*15e*")</f>
        <v/>
      </c>
      <c r="J10" s="2">
        <f>COUNTIFS($U$2:$U$745,"Autres pays d'Europe",$C$2:$C$745,"*sculpture*",$D$2:$D$745,"*15e*")</f>
        <v/>
      </c>
      <c r="K10" s="2">
        <f>COUNTIFS($U$2:$U$745,"Autres pays d'Europe",$C$2:$C$745,"*peinture*",$D$2:$D$745,"*16e*")</f>
        <v/>
      </c>
      <c r="L10" s="2">
        <f>COUNTIFS($U$2:$U$745,"Autres pays d'Europe",$C$2:$C$745,"*sculpture*",$D$2:$D$745,"*16e*")</f>
        <v/>
      </c>
      <c r="M10" s="2">
        <f>COUNTIFS($U$2:$U$745,"Autres pays d'Europe",$C$2:$C$745,"*peinture*",$D$2:$D$745,"*17e*")</f>
        <v/>
      </c>
      <c r="N10" s="2">
        <f>COUNTIFS($U$2:$U$745,"Autres pays d'Europe",$C$2:$C$745,"*sculpture*",$D$2:$D$745,"*17e*")</f>
        <v/>
      </c>
      <c r="O10" s="2">
        <f>COUNTIFS($U$2:$U$745,"Autres pays d'Europe",$C$2:$C$745,"*peinture*",$D$2:$D$745,"*18e*")</f>
        <v/>
      </c>
      <c r="P10" s="2">
        <f>COUNTIFS($U$2:$U$745,"Autres pays d'Europe",$C$2:$C$745,"*sculpture*",$D$2:$D$745,"*18e*")</f>
        <v/>
      </c>
      <c r="Q10" s="2">
        <f>COUNTIFS($U$2:$U$745,"Autres pays d'Europe",$C$2:$C$745,"*peinture*",$D$2:$D$745,"*19e*")</f>
        <v/>
      </c>
      <c r="R10" s="2">
        <f>COUNTIFS($U$2:$U$745,"Autres pays d'Europe",$C$2:$C$745,"*sculpture*",$D$2:$D$745,"*19e*")</f>
        <v/>
      </c>
      <c r="S10" s="2">
        <f>COUNTIFS($U$2:$U$745,"Autres pays d'Europe",$C$2:$C$745,"*peinture*",$D$2:$D$745,"*20e*")</f>
        <v/>
      </c>
      <c r="T10" s="2">
        <f>COUNTIFS($U$2:$U$745,"Autres pays d'Europe",$C$2:$C$745,"*sculpture*",$D$2:$D$745,"*20e*")</f>
        <v/>
      </c>
      <c r="U10">
        <f>IF(ISNUMBER(SEARCH("fran",B10)),"France",IF(OR(ISNUMBER(SEARCH("italien",B10)),ISNUMBER(SEARCH("espagn",B10)),ISNUMBER(SEARCH("catalan",B10)),ISNUMBER(SEARCH("flamand",B10)),ISNUMBER(SEARCH("belge",B10)),ISNUMBER(SEARCH("hollandais",B10)),ISNUMBER(SEARCH("néerlandais",B10)),ISNUMBER(SEARCH("allemand",B10)),ISNUMBER(SEARCH("autrichien",B10)),ISNUMBER(SEARCH("suisse",B10)),ISNUMBER(SEARCH("anglais",B10)),ISNUMBER(SEARCH("britannique",B10)),ISNUMBER(SEARCH("écossais",B10)),ISNUMBER(SEARCH("irlandais",B10)),ISNUMBER(SEARCH("russe",B10)),ISNUMBER(SEARCH("portugais",B10)),ISNUMBER(SEARCH("danois",B10)),ISNUMBER(SEARCH("norvégien",B10)),ISNUMBER(SEARCH("suédois",B10)),ISNUMBER(SEARCH("finlandais",B10)),ISNUMBER(SEARCH("polonais",B10)),ISNUMBER(SEARCH("tchèque",B10)),ISNUMBER(SEARCH("hongrois",B10)),ISNUMBER(SEARCH("grec",B10)),ISNUMBER(SEARCH("byzantin",B10)),ISNUMBER(SEARCH("croate",B10)),ISNUMBER(SEARCH("ukrainien",B10)),ISNUMBER(SEARCH("bulgare",B10)),ISNUMBER(SEARCH("biélorusse",B10)),ISNUMBER(SEARCH("maltais",B10))),"Autres pays d'Europe",IF(OR(ISNUMBER(SEARCH("américain",B10)),ISNUMBER(SEARCH("mexicain",B10)),ISNUMBER(SEARCH("canadien",B10)),ISNUMBER(SEARCH("brésilien",B10)),ISNUMBER(SEARCH("argentin",B10))),"Amérique",IF(OR(ISNUMBER(SEARCH("chinois",B10)),ISNUMBER(SEARCH("japonais",B10)),ISNUMBER(SEARCH("coréen",B10)),ISNUMBER(SEARCH("indien",B10)),ISNUMBER(SEARCH("persan",B10)),ISNUMBER(SEARCH("iranien",B10))),"Asie","(non classée)"))))</f>
        <v/>
      </c>
    </row>
    <row r="11">
      <c r="A11" s="2" t="inlineStr">
        <is>
          <t>AGNOLO BRONZINO</t>
        </is>
      </c>
      <c r="B11" s="2" t="inlineStr">
        <is>
          <t>italienne</t>
        </is>
      </c>
      <c r="C11" s="2" t="inlineStr">
        <is>
          <t>peinture</t>
        </is>
      </c>
      <c r="D11" s="2" t="inlineStr">
        <is>
          <t>16e</t>
        </is>
      </c>
      <c r="F11" s="2" t="inlineStr">
        <is>
          <t xml:space="preserve">Amérique </t>
        </is>
      </c>
      <c r="G11" s="2">
        <f>COUNTIFS($U$2:$U$745,"Amérique",$C$2:$C$745,"*peinture*",$D$2:$D$745,"*14e*")</f>
        <v/>
      </c>
      <c r="H11" s="2">
        <f>COUNTIFS($U$2:$U$745,"Amérique",$C$2:$C$745,"*sculpture*",$D$2:$D$745,"*14e*")</f>
        <v/>
      </c>
      <c r="I11" s="2">
        <f>COUNTIFS($U$2:$U$745,"Amérique",$C$2:$C$745,"*peinture*",$D$2:$D$745,"*15e*")</f>
        <v/>
      </c>
      <c r="J11" s="2">
        <f>COUNTIFS($U$2:$U$745,"Amérique",$C$2:$C$745,"*sculpture*",$D$2:$D$745,"*15e*")</f>
        <v/>
      </c>
      <c r="K11" s="2">
        <f>COUNTIFS($U$2:$U$745,"Amérique",$C$2:$C$745,"*peinture*",$D$2:$D$745,"*16e*")</f>
        <v/>
      </c>
      <c r="L11" s="2">
        <f>COUNTIFS($U$2:$U$745,"Amérique",$C$2:$C$745,"*sculpture*",$D$2:$D$745,"*16e*")</f>
        <v/>
      </c>
      <c r="M11" s="2">
        <f>COUNTIFS($U$2:$U$745,"Amérique",$C$2:$C$745,"*peinture*",$D$2:$D$745,"*17e*")</f>
        <v/>
      </c>
      <c r="N11" s="2">
        <f>COUNTIFS($U$2:$U$745,"Amérique",$C$2:$C$745,"*sculpture*",$D$2:$D$745,"*17e*")</f>
        <v/>
      </c>
      <c r="O11" s="2">
        <f>COUNTIFS($U$2:$U$745,"Amérique",$C$2:$C$745,"*peinture*",$D$2:$D$745,"*18e*")</f>
        <v/>
      </c>
      <c r="P11" s="2">
        <f>COUNTIFS($U$2:$U$745,"Amérique",$C$2:$C$745,"*sculpture*",$D$2:$D$745,"*18e*")</f>
        <v/>
      </c>
      <c r="Q11" s="2">
        <f>COUNTIFS($U$2:$U$745,"Amérique",$C$2:$C$745,"*peinture*",$D$2:$D$745,"*19e*")</f>
        <v/>
      </c>
      <c r="R11" s="2">
        <f>COUNTIFS($U$2:$U$745,"Amérique",$C$2:$C$745,"*sculpture*",$D$2:$D$745,"*19e*")</f>
        <v/>
      </c>
      <c r="S11" s="2">
        <f>COUNTIFS($U$2:$U$745,"Amérique",$C$2:$C$745,"*peinture*",$D$2:$D$745,"*20e*")</f>
        <v/>
      </c>
      <c r="T11" s="2">
        <f>COUNTIFS($U$2:$U$745,"Amérique",$C$2:$C$745,"*sculpture*",$D$2:$D$745,"*20e*")</f>
        <v/>
      </c>
      <c r="U11">
        <f>IF(ISNUMBER(SEARCH("fran",B11)),"France",IF(OR(ISNUMBER(SEARCH("italien",B11)),ISNUMBER(SEARCH("espagn",B11)),ISNUMBER(SEARCH("catalan",B11)),ISNUMBER(SEARCH("flamand",B11)),ISNUMBER(SEARCH("belge",B11)),ISNUMBER(SEARCH("hollandais",B11)),ISNUMBER(SEARCH("néerlandais",B11)),ISNUMBER(SEARCH("allemand",B11)),ISNUMBER(SEARCH("autrichien",B11)),ISNUMBER(SEARCH("suisse",B11)),ISNUMBER(SEARCH("anglais",B11)),ISNUMBER(SEARCH("britannique",B11)),ISNUMBER(SEARCH("écossais",B11)),ISNUMBER(SEARCH("irlandais",B11)),ISNUMBER(SEARCH("russe",B11)),ISNUMBER(SEARCH("portugais",B11)),ISNUMBER(SEARCH("danois",B11)),ISNUMBER(SEARCH("norvégien",B11)),ISNUMBER(SEARCH("suédois",B11)),ISNUMBER(SEARCH("finlandais",B11)),ISNUMBER(SEARCH("polonais",B11)),ISNUMBER(SEARCH("tchèque",B11)),ISNUMBER(SEARCH("hongrois",B11)),ISNUMBER(SEARCH("grec",B11)),ISNUMBER(SEARCH("byzantin",B11)),ISNUMBER(SEARCH("croate",B11)),ISNUMBER(SEARCH("ukrainien",B11)),ISNUMBER(SEARCH("bulgare",B11)),ISNUMBER(SEARCH("biélorusse",B11)),ISNUMBER(SEARCH("maltais",B11))),"Autres pays d'Europe",IF(OR(ISNUMBER(SEARCH("américain",B11)),ISNUMBER(SEARCH("mexicain",B11)),ISNUMBER(SEARCH("canadien",B11)),ISNUMBER(SEARCH("brésilien",B11)),ISNUMBER(SEARCH("argentin",B11))),"Amérique",IF(OR(ISNUMBER(SEARCH("chinois",B11)),ISNUMBER(SEARCH("japonais",B11)),ISNUMBER(SEARCH("coréen",B11)),ISNUMBER(SEARCH("indien",B11)),ISNUMBER(SEARCH("persan",B11)),ISNUMBER(SEARCH("iranien",B11))),"Asie","(non classée)"))))</f>
        <v/>
      </c>
    </row>
    <row r="12">
      <c r="A12" s="2" t="inlineStr">
        <is>
          <t>AGNOLO GADDI</t>
        </is>
      </c>
      <c r="B12" s="2" t="inlineStr">
        <is>
          <t>italienne</t>
        </is>
      </c>
      <c r="C12" s="2" t="inlineStr">
        <is>
          <t>peinture</t>
        </is>
      </c>
      <c r="D12" s="2" t="inlineStr">
        <is>
          <t>14e</t>
        </is>
      </c>
      <c r="F12" s="2" t="inlineStr">
        <is>
          <t>Asie</t>
        </is>
      </c>
      <c r="G12" s="2">
        <f>COUNTIFS($U$2:$U$745,"Asie",$C$2:$C$745,"*peinture*",$D$2:$D$745,"*14e*")</f>
        <v/>
      </c>
      <c r="H12" s="2">
        <f>COUNTIFS($U$2:$U$745,"Asie",$C$2:$C$745,"*sculpture*",$D$2:$D$745,"*14e*")</f>
        <v/>
      </c>
      <c r="I12" s="2">
        <f>COUNTIFS($U$2:$U$745,"Asie",$C$2:$C$745,"*peinture*",$D$2:$D$745,"*15e*")</f>
        <v/>
      </c>
      <c r="J12" s="2">
        <f>COUNTIFS($U$2:$U$745,"Asie",$C$2:$C$745,"*sculpture*",$D$2:$D$745,"*15e*")</f>
        <v/>
      </c>
      <c r="K12" s="2">
        <f>COUNTIFS($U$2:$U$745,"Asie",$C$2:$C$745,"*peinture*",$D$2:$D$745,"*16e*")</f>
        <v/>
      </c>
      <c r="L12" s="2">
        <f>COUNTIFS($U$2:$U$745,"Asie",$C$2:$C$745,"*sculpture*",$D$2:$D$745,"*16e*")</f>
        <v/>
      </c>
      <c r="M12" s="2">
        <f>COUNTIFS($U$2:$U$745,"Asie",$C$2:$C$745,"*peinture*",$D$2:$D$745,"*17e*")</f>
        <v/>
      </c>
      <c r="N12" s="2">
        <f>COUNTIFS($U$2:$U$745,"Asie",$C$2:$C$745,"*sculpture*",$D$2:$D$745,"*17e*")</f>
        <v/>
      </c>
      <c r="O12" s="2">
        <f>COUNTIFS($U$2:$U$745,"Asie",$C$2:$C$745,"*peinture*",$D$2:$D$745,"*18e*")</f>
        <v/>
      </c>
      <c r="P12" s="2">
        <f>COUNTIFS($U$2:$U$745,"Asie",$C$2:$C$745,"*sculpture*",$D$2:$D$745,"*18e*")</f>
        <v/>
      </c>
      <c r="Q12" s="2">
        <f>COUNTIFS($U$2:$U$745,"Asie",$C$2:$C$745,"*peinture*",$D$2:$D$745,"*19e*")</f>
        <v/>
      </c>
      <c r="R12" s="2">
        <f>COUNTIFS($U$2:$U$745,"Asie",$C$2:$C$745,"*sculpture*",$D$2:$D$745,"*19e*")</f>
        <v/>
      </c>
      <c r="S12" s="2">
        <f>COUNTIFS($U$2:$U$745,"Asie",$C$2:$C$745,"*peinture*",$D$2:$D$745,"*20e*")</f>
        <v/>
      </c>
      <c r="T12" s="2">
        <f>COUNTIFS($U$2:$U$745,"Asie",$C$2:$C$745,"*sculpture*",$D$2:$D$745,"*20e*")</f>
        <v/>
      </c>
      <c r="U12">
        <f>IF(ISNUMBER(SEARCH("fran",B12)),"France",IF(OR(ISNUMBER(SEARCH("italien",B12)),ISNUMBER(SEARCH("espagn",B12)),ISNUMBER(SEARCH("catalan",B12)),ISNUMBER(SEARCH("flamand",B12)),ISNUMBER(SEARCH("belge",B12)),ISNUMBER(SEARCH("hollandais",B12)),ISNUMBER(SEARCH("néerlandais",B12)),ISNUMBER(SEARCH("allemand",B12)),ISNUMBER(SEARCH("autrichien",B12)),ISNUMBER(SEARCH("suisse",B12)),ISNUMBER(SEARCH("anglais",B12)),ISNUMBER(SEARCH("britannique",B12)),ISNUMBER(SEARCH("écossais",B12)),ISNUMBER(SEARCH("irlandais",B12)),ISNUMBER(SEARCH("russe",B12)),ISNUMBER(SEARCH("portugais",B12)),ISNUMBER(SEARCH("danois",B12)),ISNUMBER(SEARCH("norvégien",B12)),ISNUMBER(SEARCH("suédois",B12)),ISNUMBER(SEARCH("finlandais",B12)),ISNUMBER(SEARCH("polonais",B12)),ISNUMBER(SEARCH("tchèque",B12)),ISNUMBER(SEARCH("hongrois",B12)),ISNUMBER(SEARCH("grec",B12)),ISNUMBER(SEARCH("byzantin",B12)),ISNUMBER(SEARCH("croate",B12)),ISNUMBER(SEARCH("ukrainien",B12)),ISNUMBER(SEARCH("bulgare",B12)),ISNUMBER(SEARCH("biélorusse",B12)),ISNUMBER(SEARCH("maltais",B12))),"Autres pays d'Europe",IF(OR(ISNUMBER(SEARCH("américain",B12)),ISNUMBER(SEARCH("mexicain",B12)),ISNUMBER(SEARCH("canadien",B12)),ISNUMBER(SEARCH("brésilien",B12)),ISNUMBER(SEARCH("argentin",B12))),"Amérique",IF(OR(ISNUMBER(SEARCH("chinois",B12)),ISNUMBER(SEARCH("japonais",B12)),ISNUMBER(SEARCH("coréen",B12)),ISNUMBER(SEARCH("indien",B12)),ISNUMBER(SEARCH("persan",B12)),ISNUMBER(SEARCH("iranien",B12))),"Asie","(non classée)"))))</f>
        <v/>
      </c>
    </row>
    <row r="13">
      <c r="A13" s="2" t="inlineStr">
        <is>
          <t>AGNOLO DI VENTURA</t>
        </is>
      </c>
      <c r="B13" s="2" t="inlineStr">
        <is>
          <t>italienne</t>
        </is>
      </c>
      <c r="C13" s="2" t="inlineStr">
        <is>
          <t>sculpture</t>
        </is>
      </c>
      <c r="D13" s="2" t="inlineStr">
        <is>
          <t>14e</t>
        </is>
      </c>
      <c r="U13">
        <f>IF(ISNUMBER(SEARCH("fran",B13)),"France",IF(OR(ISNUMBER(SEARCH("italien",B13)),ISNUMBER(SEARCH("espagn",B13)),ISNUMBER(SEARCH("catalan",B13)),ISNUMBER(SEARCH("flamand",B13)),ISNUMBER(SEARCH("belge",B13)),ISNUMBER(SEARCH("hollandais",B13)),ISNUMBER(SEARCH("néerlandais",B13)),ISNUMBER(SEARCH("allemand",B13)),ISNUMBER(SEARCH("autrichien",B13)),ISNUMBER(SEARCH("suisse",B13)),ISNUMBER(SEARCH("anglais",B13)),ISNUMBER(SEARCH("britannique",B13)),ISNUMBER(SEARCH("écossais",B13)),ISNUMBER(SEARCH("irlandais",B13)),ISNUMBER(SEARCH("russe",B13)),ISNUMBER(SEARCH("portugais",B13)),ISNUMBER(SEARCH("danois",B13)),ISNUMBER(SEARCH("norvégien",B13)),ISNUMBER(SEARCH("suédois",B13)),ISNUMBER(SEARCH("finlandais",B13)),ISNUMBER(SEARCH("polonais",B13)),ISNUMBER(SEARCH("tchèque",B13)),ISNUMBER(SEARCH("hongrois",B13)),ISNUMBER(SEARCH("grec",B13)),ISNUMBER(SEARCH("byzantin",B13)),ISNUMBER(SEARCH("croate",B13)),ISNUMBER(SEARCH("ukrainien",B13)),ISNUMBER(SEARCH("bulgare",B13)),ISNUMBER(SEARCH("biélorusse",B13)),ISNUMBER(SEARCH("maltais",B13))),"Autres pays d'Europe",IF(OR(ISNUMBER(SEARCH("américain",B13)),ISNUMBER(SEARCH("mexicain",B13)),ISNUMBER(SEARCH("canadien",B13)),ISNUMBER(SEARCH("brésilien",B13)),ISNUMBER(SEARCH("argentin",B13))),"Amérique",IF(OR(ISNUMBER(SEARCH("chinois",B13)),ISNUMBER(SEARCH("japonais",B13)),ISNUMBER(SEARCH("coréen",B13)),ISNUMBER(SEARCH("indien",B13)),ISNUMBER(SEARCH("persan",B13)),ISNUMBER(SEARCH("iranien",B13))),"Asie","(non classée)"))))</f>
        <v/>
      </c>
    </row>
    <row r="14">
      <c r="A14" s="2" t="inlineStr">
        <is>
          <t>AGOSTINO CORNACCHINI</t>
        </is>
      </c>
      <c r="B14" s="2" t="inlineStr">
        <is>
          <t>italienne</t>
        </is>
      </c>
      <c r="C14" s="2" t="inlineStr">
        <is>
          <t>sculpture</t>
        </is>
      </c>
      <c r="D14" s="2" t="inlineStr">
        <is>
          <t>18e</t>
        </is>
      </c>
      <c r="U14">
        <f>IF(ISNUMBER(SEARCH("fran",B14)),"France",IF(OR(ISNUMBER(SEARCH("italien",B14)),ISNUMBER(SEARCH("espagn",B14)),ISNUMBER(SEARCH("catalan",B14)),ISNUMBER(SEARCH("flamand",B14)),ISNUMBER(SEARCH("belge",B14)),ISNUMBER(SEARCH("hollandais",B14)),ISNUMBER(SEARCH("néerlandais",B14)),ISNUMBER(SEARCH("allemand",B14)),ISNUMBER(SEARCH("autrichien",B14)),ISNUMBER(SEARCH("suisse",B14)),ISNUMBER(SEARCH("anglais",B14)),ISNUMBER(SEARCH("britannique",B14)),ISNUMBER(SEARCH("écossais",B14)),ISNUMBER(SEARCH("irlandais",B14)),ISNUMBER(SEARCH("russe",B14)),ISNUMBER(SEARCH("portugais",B14)),ISNUMBER(SEARCH("danois",B14)),ISNUMBER(SEARCH("norvégien",B14)),ISNUMBER(SEARCH("suédois",B14)),ISNUMBER(SEARCH("finlandais",B14)),ISNUMBER(SEARCH("polonais",B14)),ISNUMBER(SEARCH("tchèque",B14)),ISNUMBER(SEARCH("hongrois",B14)),ISNUMBER(SEARCH("grec",B14)),ISNUMBER(SEARCH("byzantin",B14)),ISNUMBER(SEARCH("croate",B14)),ISNUMBER(SEARCH("ukrainien",B14)),ISNUMBER(SEARCH("bulgare",B14)),ISNUMBER(SEARCH("biélorusse",B14)),ISNUMBER(SEARCH("maltais",B14))),"Autres pays d'Europe",IF(OR(ISNUMBER(SEARCH("américain",B14)),ISNUMBER(SEARCH("mexicain",B14)),ISNUMBER(SEARCH("canadien",B14)),ISNUMBER(SEARCH("brésilien",B14)),ISNUMBER(SEARCH("argentin",B14))),"Amérique",IF(OR(ISNUMBER(SEARCH("chinois",B14)),ISNUMBER(SEARCH("japonais",B14)),ISNUMBER(SEARCH("coréen",B14)),ISNUMBER(SEARCH("indien",B14)),ISNUMBER(SEARCH("persan",B14)),ISNUMBER(SEARCH("iranien",B14))),"Asie","(non classée)"))))</f>
        <v/>
      </c>
    </row>
    <row r="15">
      <c r="A15" s="2" t="inlineStr">
        <is>
          <t>AGOSTINO DI DUCCIO</t>
        </is>
      </c>
      <c r="B15" s="2" t="inlineStr">
        <is>
          <t>italienne</t>
        </is>
      </c>
      <c r="C15" s="2" t="inlineStr">
        <is>
          <t>sculpture</t>
        </is>
      </c>
      <c r="D15" s="2" t="inlineStr">
        <is>
          <t>15e</t>
        </is>
      </c>
      <c r="U15">
        <f>IF(ISNUMBER(SEARCH("fran",B15)),"France",IF(OR(ISNUMBER(SEARCH("italien",B15)),ISNUMBER(SEARCH("espagn",B15)),ISNUMBER(SEARCH("catalan",B15)),ISNUMBER(SEARCH("flamand",B15)),ISNUMBER(SEARCH("belge",B15)),ISNUMBER(SEARCH("hollandais",B15)),ISNUMBER(SEARCH("néerlandais",B15)),ISNUMBER(SEARCH("allemand",B15)),ISNUMBER(SEARCH("autrichien",B15)),ISNUMBER(SEARCH("suisse",B15)),ISNUMBER(SEARCH("anglais",B15)),ISNUMBER(SEARCH("britannique",B15)),ISNUMBER(SEARCH("écossais",B15)),ISNUMBER(SEARCH("irlandais",B15)),ISNUMBER(SEARCH("russe",B15)),ISNUMBER(SEARCH("portugais",B15)),ISNUMBER(SEARCH("danois",B15)),ISNUMBER(SEARCH("norvégien",B15)),ISNUMBER(SEARCH("suédois",B15)),ISNUMBER(SEARCH("finlandais",B15)),ISNUMBER(SEARCH("polonais",B15)),ISNUMBER(SEARCH("tchèque",B15)),ISNUMBER(SEARCH("hongrois",B15)),ISNUMBER(SEARCH("grec",B15)),ISNUMBER(SEARCH("byzantin",B15)),ISNUMBER(SEARCH("croate",B15)),ISNUMBER(SEARCH("ukrainien",B15)),ISNUMBER(SEARCH("bulgare",B15)),ISNUMBER(SEARCH("biélorusse",B15)),ISNUMBER(SEARCH("maltais",B15))),"Autres pays d'Europe",IF(OR(ISNUMBER(SEARCH("américain",B15)),ISNUMBER(SEARCH("mexicain",B15)),ISNUMBER(SEARCH("canadien",B15)),ISNUMBER(SEARCH("brésilien",B15)),ISNUMBER(SEARCH("argentin",B15))),"Amérique",IF(OR(ISNUMBER(SEARCH("chinois",B15)),ISNUMBER(SEARCH("japonais",B15)),ISNUMBER(SEARCH("coréen",B15)),ISNUMBER(SEARCH("indien",B15)),ISNUMBER(SEARCH("persan",B15)),ISNUMBER(SEARCH("iranien",B15))),"Asie","(non classée)"))))</f>
        <v/>
      </c>
    </row>
    <row r="16">
      <c r="A16" s="2" t="inlineStr">
        <is>
          <t>AHMAD MUSA</t>
        </is>
      </c>
      <c r="B16" s="2" t="inlineStr">
        <is>
          <t>persane</t>
        </is>
      </c>
      <c r="C16" s="2" t="inlineStr">
        <is>
          <t>peinture</t>
        </is>
      </c>
      <c r="D16" s="2" t="inlineStr">
        <is>
          <t>14e</t>
        </is>
      </c>
      <c r="F16" s="1" t="inlineStr">
        <is>
          <t>NOMBRES DE TABLEAUX REPRESENTES</t>
        </is>
      </c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5" t="n"/>
      <c r="U16">
        <f>IF(ISNUMBER(SEARCH("fran",B16)),"France",IF(OR(ISNUMBER(SEARCH("italien",B16)),ISNUMBER(SEARCH("espagn",B16)),ISNUMBER(SEARCH("catalan",B16)),ISNUMBER(SEARCH("flamand",B16)),ISNUMBER(SEARCH("belge",B16)),ISNUMBER(SEARCH("hollandais",B16)),ISNUMBER(SEARCH("néerlandais",B16)),ISNUMBER(SEARCH("allemand",B16)),ISNUMBER(SEARCH("autrichien",B16)),ISNUMBER(SEARCH("suisse",B16)),ISNUMBER(SEARCH("anglais",B16)),ISNUMBER(SEARCH("britannique",B16)),ISNUMBER(SEARCH("écossais",B16)),ISNUMBER(SEARCH("irlandais",B16)),ISNUMBER(SEARCH("russe",B16)),ISNUMBER(SEARCH("portugais",B16)),ISNUMBER(SEARCH("danois",B16)),ISNUMBER(SEARCH("norvégien",B16)),ISNUMBER(SEARCH("suédois",B16)),ISNUMBER(SEARCH("finlandais",B16)),ISNUMBER(SEARCH("polonais",B16)),ISNUMBER(SEARCH("tchèque",B16)),ISNUMBER(SEARCH("hongrois",B16)),ISNUMBER(SEARCH("grec",B16)),ISNUMBER(SEARCH("byzantin",B16)),ISNUMBER(SEARCH("croate",B16)),ISNUMBER(SEARCH("ukrainien",B16)),ISNUMBER(SEARCH("bulgare",B16)),ISNUMBER(SEARCH("biélorusse",B16)),ISNUMBER(SEARCH("maltais",B16))),"Autres pays d'Europe",IF(OR(ISNUMBER(SEARCH("américain",B16)),ISNUMBER(SEARCH("mexicain",B16)),ISNUMBER(SEARCH("canadien",B16)),ISNUMBER(SEARCH("brésilien",B16)),ISNUMBER(SEARCH("argentin",B16))),"Amérique",IF(OR(ISNUMBER(SEARCH("chinois",B16)),ISNUMBER(SEARCH("japonais",B16)),ISNUMBER(SEARCH("coréen",B16)),ISNUMBER(SEARCH("indien",B16)),ISNUMBER(SEARCH("persan",B16)),ISNUMBER(SEARCH("iranien",B16))),"Asie","(non classée)"))))</f>
        <v/>
      </c>
    </row>
    <row r="17">
      <c r="A17" s="2" t="inlineStr">
        <is>
          <t>AIMÉ MILLET</t>
        </is>
      </c>
      <c r="B17" s="2" t="inlineStr">
        <is>
          <t>française</t>
        </is>
      </c>
      <c r="C17" s="2" t="inlineStr">
        <is>
          <t>sculpture</t>
        </is>
      </c>
      <c r="D17" s="2" t="inlineStr">
        <is>
          <t>19e</t>
        </is>
      </c>
      <c r="F17" s="2" t="n"/>
      <c r="G17" s="1" t="n">
        <v>14</v>
      </c>
      <c r="H17" s="5" t="n"/>
      <c r="I17" s="1" t="n">
        <v>15</v>
      </c>
      <c r="J17" s="5" t="n"/>
      <c r="K17" s="1" t="n">
        <v>16</v>
      </c>
      <c r="L17" s="5" t="n"/>
      <c r="M17" s="1" t="n">
        <v>17</v>
      </c>
      <c r="N17" s="5" t="n"/>
      <c r="O17" s="1" t="n">
        <v>18</v>
      </c>
      <c r="P17" s="5" t="n"/>
      <c r="Q17" s="1" t="n">
        <v>19</v>
      </c>
      <c r="R17" s="5" t="n"/>
      <c r="S17" s="1" t="n">
        <v>20</v>
      </c>
      <c r="T17" s="5" t="n"/>
      <c r="U17">
        <f>IF(ISNUMBER(SEARCH("fran",B17)),"France",IF(OR(ISNUMBER(SEARCH("italien",B17)),ISNUMBER(SEARCH("espagn",B17)),ISNUMBER(SEARCH("catalan",B17)),ISNUMBER(SEARCH("flamand",B17)),ISNUMBER(SEARCH("belge",B17)),ISNUMBER(SEARCH("hollandais",B17)),ISNUMBER(SEARCH("néerlandais",B17)),ISNUMBER(SEARCH("allemand",B17)),ISNUMBER(SEARCH("autrichien",B17)),ISNUMBER(SEARCH("suisse",B17)),ISNUMBER(SEARCH("anglais",B17)),ISNUMBER(SEARCH("britannique",B17)),ISNUMBER(SEARCH("écossais",B17)),ISNUMBER(SEARCH("irlandais",B17)),ISNUMBER(SEARCH("russe",B17)),ISNUMBER(SEARCH("portugais",B17)),ISNUMBER(SEARCH("danois",B17)),ISNUMBER(SEARCH("norvégien",B17)),ISNUMBER(SEARCH("suédois",B17)),ISNUMBER(SEARCH("finlandais",B17)),ISNUMBER(SEARCH("polonais",B17)),ISNUMBER(SEARCH("tchèque",B17)),ISNUMBER(SEARCH("hongrois",B17)),ISNUMBER(SEARCH("grec",B17)),ISNUMBER(SEARCH("byzantin",B17)),ISNUMBER(SEARCH("croate",B17)),ISNUMBER(SEARCH("ukrainien",B17)),ISNUMBER(SEARCH("bulgare",B17)),ISNUMBER(SEARCH("biélorusse",B17)),ISNUMBER(SEARCH("maltais",B17))),"Autres pays d'Europe",IF(OR(ISNUMBER(SEARCH("américain",B17)),ISNUMBER(SEARCH("mexicain",B17)),ISNUMBER(SEARCH("canadien",B17)),ISNUMBER(SEARCH("brésilien",B17)),ISNUMBER(SEARCH("argentin",B17))),"Amérique",IF(OR(ISNUMBER(SEARCH("chinois",B17)),ISNUMBER(SEARCH("japonais",B17)),ISNUMBER(SEARCH("coréen",B17)),ISNUMBER(SEARCH("indien",B17)),ISNUMBER(SEARCH("persan",B17)),ISNUMBER(SEARCH("iranien",B17))),"Asie","(non classée)"))))</f>
        <v/>
      </c>
    </row>
    <row r="18">
      <c r="A18" s="2" t="inlineStr">
        <is>
          <t>ALBERT MARQUET</t>
        </is>
      </c>
      <c r="B18" s="2" t="inlineStr">
        <is>
          <t>française</t>
        </is>
      </c>
      <c r="C18" s="2" t="inlineStr">
        <is>
          <t>peinture</t>
        </is>
      </c>
      <c r="D18" s="2" t="inlineStr">
        <is>
          <t>20e</t>
        </is>
      </c>
      <c r="F18" s="2" t="n"/>
      <c r="G18" s="2" t="inlineStr">
        <is>
          <t>peinture</t>
        </is>
      </c>
      <c r="H18" s="2" t="inlineStr">
        <is>
          <t>sculpture.</t>
        </is>
      </c>
      <c r="I18" s="2" t="inlineStr">
        <is>
          <t>peinture</t>
        </is>
      </c>
      <c r="J18" s="2" t="inlineStr">
        <is>
          <t>sculpture.</t>
        </is>
      </c>
      <c r="K18" s="2" t="inlineStr">
        <is>
          <t>peinture</t>
        </is>
      </c>
      <c r="L18" s="2" t="inlineStr">
        <is>
          <t>sculpture.</t>
        </is>
      </c>
      <c r="M18" s="2" t="inlineStr">
        <is>
          <t>peinture</t>
        </is>
      </c>
      <c r="N18" s="2" t="inlineStr">
        <is>
          <t>sculpture.</t>
        </is>
      </c>
      <c r="O18" s="2" t="inlineStr">
        <is>
          <t>peinture</t>
        </is>
      </c>
      <c r="P18" s="2" t="inlineStr">
        <is>
          <t>sculpture.</t>
        </is>
      </c>
      <c r="Q18" s="2" t="inlineStr">
        <is>
          <t>peinture</t>
        </is>
      </c>
      <c r="R18" s="2" t="inlineStr">
        <is>
          <t>sculpture.</t>
        </is>
      </c>
      <c r="S18" s="2" t="inlineStr">
        <is>
          <t>peinture</t>
        </is>
      </c>
      <c r="T18" s="2" t="inlineStr">
        <is>
          <t>sculpture.</t>
        </is>
      </c>
      <c r="U18">
        <f>IF(ISNUMBER(SEARCH("fran",B18)),"France",IF(OR(ISNUMBER(SEARCH("italien",B18)),ISNUMBER(SEARCH("espagn",B18)),ISNUMBER(SEARCH("catalan",B18)),ISNUMBER(SEARCH("flamand",B18)),ISNUMBER(SEARCH("belge",B18)),ISNUMBER(SEARCH("hollandais",B18)),ISNUMBER(SEARCH("néerlandais",B18)),ISNUMBER(SEARCH("allemand",B18)),ISNUMBER(SEARCH("autrichien",B18)),ISNUMBER(SEARCH("suisse",B18)),ISNUMBER(SEARCH("anglais",B18)),ISNUMBER(SEARCH("britannique",B18)),ISNUMBER(SEARCH("écossais",B18)),ISNUMBER(SEARCH("irlandais",B18)),ISNUMBER(SEARCH("russe",B18)),ISNUMBER(SEARCH("portugais",B18)),ISNUMBER(SEARCH("danois",B18)),ISNUMBER(SEARCH("norvégien",B18)),ISNUMBER(SEARCH("suédois",B18)),ISNUMBER(SEARCH("finlandais",B18)),ISNUMBER(SEARCH("polonais",B18)),ISNUMBER(SEARCH("tchèque",B18)),ISNUMBER(SEARCH("hongrois",B18)),ISNUMBER(SEARCH("grec",B18)),ISNUMBER(SEARCH("byzantin",B18)),ISNUMBER(SEARCH("croate",B18)),ISNUMBER(SEARCH("ukrainien",B18)),ISNUMBER(SEARCH("bulgare",B18)),ISNUMBER(SEARCH("biélorusse",B18)),ISNUMBER(SEARCH("maltais",B18))),"Autres pays d'Europe",IF(OR(ISNUMBER(SEARCH("américain",B18)),ISNUMBER(SEARCH("mexicain",B18)),ISNUMBER(SEARCH("canadien",B18)),ISNUMBER(SEARCH("brésilien",B18)),ISNUMBER(SEARCH("argentin",B18))),"Amérique",IF(OR(ISNUMBER(SEARCH("chinois",B18)),ISNUMBER(SEARCH("japonais",B18)),ISNUMBER(SEARCH("coréen",B18)),ISNUMBER(SEARCH("indien",B18)),ISNUMBER(SEARCH("persan",B18)),ISNUMBER(SEARCH("iranien",B18))),"Asie","(non classée)"))))</f>
        <v/>
      </c>
    </row>
    <row r="19">
      <c r="A19" s="2" t="inlineStr">
        <is>
          <t>ALBERT-ERNEST CARRIER-BELLEUSE</t>
        </is>
      </c>
      <c r="B19" s="2" t="inlineStr">
        <is>
          <t>française</t>
        </is>
      </c>
      <c r="C19" s="2" t="inlineStr">
        <is>
          <t>sculpture</t>
        </is>
      </c>
      <c r="D19" s="2" t="inlineStr">
        <is>
          <t>19e</t>
        </is>
      </c>
      <c r="F19" s="2" t="inlineStr">
        <is>
          <t>France</t>
        </is>
      </c>
      <c r="G19" s="2" t="n">
        <v>4</v>
      </c>
      <c r="H19" s="2" t="n"/>
      <c r="I19" s="2" t="n">
        <v>7</v>
      </c>
      <c r="J19" s="2" t="n"/>
      <c r="K19" s="2" t="n">
        <v>6</v>
      </c>
      <c r="L19" s="2" t="n"/>
      <c r="M19" s="2" t="n">
        <v>62</v>
      </c>
      <c r="N19" s="2" t="n"/>
      <c r="O19" s="2" t="n">
        <v>95</v>
      </c>
      <c r="P19" s="2" t="n"/>
      <c r="Q19" s="2" t="n">
        <v>195</v>
      </c>
      <c r="R19" s="2" t="n"/>
      <c r="S19" s="2" t="n">
        <v>70</v>
      </c>
      <c r="T19" s="2" t="n"/>
      <c r="U19">
        <f>IF(ISNUMBER(SEARCH("fran",B19)),"France",IF(OR(ISNUMBER(SEARCH("italien",B19)),ISNUMBER(SEARCH("espagn",B19)),ISNUMBER(SEARCH("catalan",B19)),ISNUMBER(SEARCH("flamand",B19)),ISNUMBER(SEARCH("belge",B19)),ISNUMBER(SEARCH("hollandais",B19)),ISNUMBER(SEARCH("néerlandais",B19)),ISNUMBER(SEARCH("allemand",B19)),ISNUMBER(SEARCH("autrichien",B19)),ISNUMBER(SEARCH("suisse",B19)),ISNUMBER(SEARCH("anglais",B19)),ISNUMBER(SEARCH("britannique",B19)),ISNUMBER(SEARCH("écossais",B19)),ISNUMBER(SEARCH("irlandais",B19)),ISNUMBER(SEARCH("russe",B19)),ISNUMBER(SEARCH("portugais",B19)),ISNUMBER(SEARCH("danois",B19)),ISNUMBER(SEARCH("norvégien",B19)),ISNUMBER(SEARCH("suédois",B19)),ISNUMBER(SEARCH("finlandais",B19)),ISNUMBER(SEARCH("polonais",B19)),ISNUMBER(SEARCH("tchèque",B19)),ISNUMBER(SEARCH("hongrois",B19)),ISNUMBER(SEARCH("grec",B19)),ISNUMBER(SEARCH("byzantin",B19)),ISNUMBER(SEARCH("croate",B19)),ISNUMBER(SEARCH("ukrainien",B19)),ISNUMBER(SEARCH("bulgare",B19)),ISNUMBER(SEARCH("biélorusse",B19)),ISNUMBER(SEARCH("maltais",B19))),"Autres pays d'Europe",IF(OR(ISNUMBER(SEARCH("américain",B19)),ISNUMBER(SEARCH("mexicain",B19)),ISNUMBER(SEARCH("canadien",B19)),ISNUMBER(SEARCH("brésilien",B19)),ISNUMBER(SEARCH("argentin",B19))),"Amérique",IF(OR(ISNUMBER(SEARCH("chinois",B19)),ISNUMBER(SEARCH("japonais",B19)),ISNUMBER(SEARCH("coréen",B19)),ISNUMBER(SEARCH("indien",B19)),ISNUMBER(SEARCH("persan",B19)),ISNUMBER(SEARCH("iranien",B19))),"Asie","(non classée)"))))</f>
        <v/>
      </c>
    </row>
    <row r="20">
      <c r="A20" s="2" t="inlineStr">
        <is>
          <t>ALBERTO ARNOLDI</t>
        </is>
      </c>
      <c r="B20" s="2" t="inlineStr">
        <is>
          <t>italienne</t>
        </is>
      </c>
      <c r="C20" s="2" t="inlineStr">
        <is>
          <t>sculpture</t>
        </is>
      </c>
      <c r="D20" s="2" t="inlineStr">
        <is>
          <t>14e</t>
        </is>
      </c>
      <c r="F20" s="2" t="inlineStr">
        <is>
          <t>Autres pays d'Europe</t>
        </is>
      </c>
      <c r="G20" s="2" t="n">
        <v>72</v>
      </c>
      <c r="H20" s="2" t="n"/>
      <c r="I20" s="2" t="n">
        <v>83</v>
      </c>
      <c r="J20" s="2" t="n"/>
      <c r="K20" s="2" t="n">
        <v>174</v>
      </c>
      <c r="L20" s="2" t="n"/>
      <c r="M20" s="2" t="n">
        <v>221</v>
      </c>
      <c r="N20" s="2" t="n"/>
      <c r="O20" s="2" t="n">
        <v>97</v>
      </c>
      <c r="P20" s="2" t="n"/>
      <c r="Q20" s="2" t="n">
        <v>74</v>
      </c>
      <c r="R20" s="2" t="n"/>
      <c r="S20" s="2" t="n">
        <v>132</v>
      </c>
      <c r="T20" s="2" t="n"/>
      <c r="U20">
        <f>IF(ISNUMBER(SEARCH("fran",B20)),"France",IF(OR(ISNUMBER(SEARCH("italien",B20)),ISNUMBER(SEARCH("espagn",B20)),ISNUMBER(SEARCH("catalan",B20)),ISNUMBER(SEARCH("flamand",B20)),ISNUMBER(SEARCH("belge",B20)),ISNUMBER(SEARCH("hollandais",B20)),ISNUMBER(SEARCH("néerlandais",B20)),ISNUMBER(SEARCH("allemand",B20)),ISNUMBER(SEARCH("autrichien",B20)),ISNUMBER(SEARCH("suisse",B20)),ISNUMBER(SEARCH("anglais",B20)),ISNUMBER(SEARCH("britannique",B20)),ISNUMBER(SEARCH("écossais",B20)),ISNUMBER(SEARCH("irlandais",B20)),ISNUMBER(SEARCH("russe",B20)),ISNUMBER(SEARCH("portugais",B20)),ISNUMBER(SEARCH("danois",B20)),ISNUMBER(SEARCH("norvégien",B20)),ISNUMBER(SEARCH("suédois",B20)),ISNUMBER(SEARCH("finlandais",B20)),ISNUMBER(SEARCH("polonais",B20)),ISNUMBER(SEARCH("tchèque",B20)),ISNUMBER(SEARCH("hongrois",B20)),ISNUMBER(SEARCH("grec",B20)),ISNUMBER(SEARCH("byzantin",B20)),ISNUMBER(SEARCH("croate",B20)),ISNUMBER(SEARCH("ukrainien",B20)),ISNUMBER(SEARCH("bulgare",B20)),ISNUMBER(SEARCH("biélorusse",B20)),ISNUMBER(SEARCH("maltais",B20))),"Autres pays d'Europe",IF(OR(ISNUMBER(SEARCH("américain",B20)),ISNUMBER(SEARCH("mexicain",B20)),ISNUMBER(SEARCH("canadien",B20)),ISNUMBER(SEARCH("brésilien",B20)),ISNUMBER(SEARCH("argentin",B20))),"Amérique",IF(OR(ISNUMBER(SEARCH("chinois",B20)),ISNUMBER(SEARCH("japonais",B20)),ISNUMBER(SEARCH("coréen",B20)),ISNUMBER(SEARCH("indien",B20)),ISNUMBER(SEARCH("persan",B20)),ISNUMBER(SEARCH("iranien",B20))),"Asie","(non classée)"))))</f>
        <v/>
      </c>
    </row>
    <row r="21">
      <c r="A21" s="2" t="inlineStr">
        <is>
          <t>ALBRECHT ALTDORFER</t>
        </is>
      </c>
      <c r="B21" s="2" t="inlineStr">
        <is>
          <t>allemande</t>
        </is>
      </c>
      <c r="C21" s="2" t="inlineStr">
        <is>
          <t>peinture</t>
        </is>
      </c>
      <c r="D21" s="2" t="inlineStr">
        <is>
          <t>16e</t>
        </is>
      </c>
      <c r="F21" s="2" t="inlineStr">
        <is>
          <t xml:space="preserve">Amérique </t>
        </is>
      </c>
      <c r="G21" s="2" t="n">
        <v>0</v>
      </c>
      <c r="H21" s="2" t="n"/>
      <c r="I21" s="2" t="n">
        <v>0</v>
      </c>
      <c r="J21" s="2" t="n"/>
      <c r="K21" s="2" t="n">
        <v>0</v>
      </c>
      <c r="L21" s="2" t="n"/>
      <c r="M21" s="2" t="n">
        <v>0</v>
      </c>
      <c r="N21" s="2" t="n"/>
      <c r="O21" s="2" t="n">
        <v>12</v>
      </c>
      <c r="P21" s="2" t="n"/>
      <c r="Q21" s="2" t="n">
        <v>21</v>
      </c>
      <c r="R21" s="2" t="n"/>
      <c r="S21" s="2" t="n">
        <v>16</v>
      </c>
      <c r="T21" s="2" t="n"/>
      <c r="U21">
        <f>IF(ISNUMBER(SEARCH("fran",B21)),"France",IF(OR(ISNUMBER(SEARCH("italien",B21)),ISNUMBER(SEARCH("espagn",B21)),ISNUMBER(SEARCH("catalan",B21)),ISNUMBER(SEARCH("flamand",B21)),ISNUMBER(SEARCH("belge",B21)),ISNUMBER(SEARCH("hollandais",B21)),ISNUMBER(SEARCH("néerlandais",B21)),ISNUMBER(SEARCH("allemand",B21)),ISNUMBER(SEARCH("autrichien",B21)),ISNUMBER(SEARCH("suisse",B21)),ISNUMBER(SEARCH("anglais",B21)),ISNUMBER(SEARCH("britannique",B21)),ISNUMBER(SEARCH("écossais",B21)),ISNUMBER(SEARCH("irlandais",B21)),ISNUMBER(SEARCH("russe",B21)),ISNUMBER(SEARCH("portugais",B21)),ISNUMBER(SEARCH("danois",B21)),ISNUMBER(SEARCH("norvégien",B21)),ISNUMBER(SEARCH("suédois",B21)),ISNUMBER(SEARCH("finlandais",B21)),ISNUMBER(SEARCH("polonais",B21)),ISNUMBER(SEARCH("tchèque",B21)),ISNUMBER(SEARCH("hongrois",B21)),ISNUMBER(SEARCH("grec",B21)),ISNUMBER(SEARCH("byzantin",B21)),ISNUMBER(SEARCH("croate",B21)),ISNUMBER(SEARCH("ukrainien",B21)),ISNUMBER(SEARCH("bulgare",B21)),ISNUMBER(SEARCH("biélorusse",B21)),ISNUMBER(SEARCH("maltais",B21))),"Autres pays d'Europe",IF(OR(ISNUMBER(SEARCH("américain",B21)),ISNUMBER(SEARCH("mexicain",B21)),ISNUMBER(SEARCH("canadien",B21)),ISNUMBER(SEARCH("brésilien",B21)),ISNUMBER(SEARCH("argentin",B21))),"Amérique",IF(OR(ISNUMBER(SEARCH("chinois",B21)),ISNUMBER(SEARCH("japonais",B21)),ISNUMBER(SEARCH("coréen",B21)),ISNUMBER(SEARCH("indien",B21)),ISNUMBER(SEARCH("persan",B21)),ISNUMBER(SEARCH("iranien",B21))),"Asie","(non classée)"))))</f>
        <v/>
      </c>
    </row>
    <row r="22">
      <c r="A22" s="2" t="inlineStr">
        <is>
          <t>ALBRECHT DÜRER</t>
        </is>
      </c>
      <c r="B22" s="2" t="inlineStr">
        <is>
          <t>allemande</t>
        </is>
      </c>
      <c r="C22" s="2" t="inlineStr">
        <is>
          <t>peinture</t>
        </is>
      </c>
      <c r="D22" s="2" t="inlineStr">
        <is>
          <t>16e</t>
        </is>
      </c>
      <c r="F22" s="2" t="inlineStr">
        <is>
          <t>Asie</t>
        </is>
      </c>
      <c r="G22" s="2" t="n">
        <v>14</v>
      </c>
      <c r="H22" s="2" t="n"/>
      <c r="I22" s="2" t="n">
        <v>0</v>
      </c>
      <c r="J22" s="2" t="n"/>
      <c r="K22" s="2" t="n">
        <v>0</v>
      </c>
      <c r="L22" s="2" t="n"/>
      <c r="M22" s="2" t="n">
        <v>7</v>
      </c>
      <c r="N22" s="2" t="n"/>
      <c r="O22" s="2" t="n">
        <v>6</v>
      </c>
      <c r="P22" s="2" t="n"/>
      <c r="Q22" s="2" t="n">
        <v>0</v>
      </c>
      <c r="R22" s="2" t="n"/>
      <c r="S22" s="2" t="n">
        <v>0</v>
      </c>
      <c r="T22" s="2" t="n"/>
      <c r="U22">
        <f>IF(ISNUMBER(SEARCH("fran",B22)),"France",IF(OR(ISNUMBER(SEARCH("italien",B22)),ISNUMBER(SEARCH("espagn",B22)),ISNUMBER(SEARCH("catalan",B22)),ISNUMBER(SEARCH("flamand",B22)),ISNUMBER(SEARCH("belge",B22)),ISNUMBER(SEARCH("hollandais",B22)),ISNUMBER(SEARCH("néerlandais",B22)),ISNUMBER(SEARCH("allemand",B22)),ISNUMBER(SEARCH("autrichien",B22)),ISNUMBER(SEARCH("suisse",B22)),ISNUMBER(SEARCH("anglais",B22)),ISNUMBER(SEARCH("britannique",B22)),ISNUMBER(SEARCH("écossais",B22)),ISNUMBER(SEARCH("irlandais",B22)),ISNUMBER(SEARCH("russe",B22)),ISNUMBER(SEARCH("portugais",B22)),ISNUMBER(SEARCH("danois",B22)),ISNUMBER(SEARCH("norvégien",B22)),ISNUMBER(SEARCH("suédois",B22)),ISNUMBER(SEARCH("finlandais",B22)),ISNUMBER(SEARCH("polonais",B22)),ISNUMBER(SEARCH("tchèque",B22)),ISNUMBER(SEARCH("hongrois",B22)),ISNUMBER(SEARCH("grec",B22)),ISNUMBER(SEARCH("byzantin",B22)),ISNUMBER(SEARCH("croate",B22)),ISNUMBER(SEARCH("ukrainien",B22)),ISNUMBER(SEARCH("bulgare",B22)),ISNUMBER(SEARCH("biélorusse",B22)),ISNUMBER(SEARCH("maltais",B22))),"Autres pays d'Europe",IF(OR(ISNUMBER(SEARCH("américain",B22)),ISNUMBER(SEARCH("mexicain",B22)),ISNUMBER(SEARCH("canadien",B22)),ISNUMBER(SEARCH("brésilien",B22)),ISNUMBER(SEARCH("argentin",B22))),"Amérique",IF(OR(ISNUMBER(SEARCH("chinois",B22)),ISNUMBER(SEARCH("japonais",B22)),ISNUMBER(SEARCH("coréen",B22)),ISNUMBER(SEARCH("indien",B22)),ISNUMBER(SEARCH("persan",B22)),ISNUMBER(SEARCH("iranien",B22))),"Asie","(non classée)"))))</f>
        <v/>
      </c>
    </row>
    <row r="23">
      <c r="A23" s="2" t="inlineStr">
        <is>
          <t>ALESSANDO MAGNASCO</t>
        </is>
      </c>
      <c r="B23" s="2" t="inlineStr">
        <is>
          <t>italienne</t>
        </is>
      </c>
      <c r="C23" s="2" t="inlineStr">
        <is>
          <t>peinture</t>
        </is>
      </c>
      <c r="D23" s="2" t="inlineStr">
        <is>
          <t>18e</t>
        </is>
      </c>
      <c r="U23">
        <f>IF(ISNUMBER(SEARCH("fran",B23)),"France",IF(OR(ISNUMBER(SEARCH("italien",B23)),ISNUMBER(SEARCH("espagn",B23)),ISNUMBER(SEARCH("catalan",B23)),ISNUMBER(SEARCH("flamand",B23)),ISNUMBER(SEARCH("belge",B23)),ISNUMBER(SEARCH("hollandais",B23)),ISNUMBER(SEARCH("néerlandais",B23)),ISNUMBER(SEARCH("allemand",B23)),ISNUMBER(SEARCH("autrichien",B23)),ISNUMBER(SEARCH("suisse",B23)),ISNUMBER(SEARCH("anglais",B23)),ISNUMBER(SEARCH("britannique",B23)),ISNUMBER(SEARCH("écossais",B23)),ISNUMBER(SEARCH("irlandais",B23)),ISNUMBER(SEARCH("russe",B23)),ISNUMBER(SEARCH("portugais",B23)),ISNUMBER(SEARCH("danois",B23)),ISNUMBER(SEARCH("norvégien",B23)),ISNUMBER(SEARCH("suédois",B23)),ISNUMBER(SEARCH("finlandais",B23)),ISNUMBER(SEARCH("polonais",B23)),ISNUMBER(SEARCH("tchèque",B23)),ISNUMBER(SEARCH("hongrois",B23)),ISNUMBER(SEARCH("grec",B23)),ISNUMBER(SEARCH("byzantin",B23)),ISNUMBER(SEARCH("croate",B23)),ISNUMBER(SEARCH("ukrainien",B23)),ISNUMBER(SEARCH("bulgare",B23)),ISNUMBER(SEARCH("biélorusse",B23)),ISNUMBER(SEARCH("maltais",B23))),"Autres pays d'Europe",IF(OR(ISNUMBER(SEARCH("américain",B23)),ISNUMBER(SEARCH("mexicain",B23)),ISNUMBER(SEARCH("canadien",B23)),ISNUMBER(SEARCH("brésilien",B23)),ISNUMBER(SEARCH("argentin",B23))),"Amérique",IF(OR(ISNUMBER(SEARCH("chinois",B23)),ISNUMBER(SEARCH("japonais",B23)),ISNUMBER(SEARCH("coréen",B23)),ISNUMBER(SEARCH("indien",B23)),ISNUMBER(SEARCH("persan",B23)),ISNUMBER(SEARCH("iranien",B23))),"Asie","(non classée)"))))</f>
        <v/>
      </c>
    </row>
    <row r="24">
      <c r="A24" s="2" t="inlineStr">
        <is>
          <t>ALESSANDRO ALGARDI</t>
        </is>
      </c>
      <c r="B24" s="2" t="inlineStr">
        <is>
          <t>italienne</t>
        </is>
      </c>
      <c r="C24" s="2" t="inlineStr">
        <is>
          <t>sculpture</t>
        </is>
      </c>
      <c r="D24" s="2" t="inlineStr">
        <is>
          <t>17e</t>
        </is>
      </c>
      <c r="U24">
        <f>IF(ISNUMBER(SEARCH("fran",B24)),"France",IF(OR(ISNUMBER(SEARCH("italien",B24)),ISNUMBER(SEARCH("espagn",B24)),ISNUMBER(SEARCH("catalan",B24)),ISNUMBER(SEARCH("flamand",B24)),ISNUMBER(SEARCH("belge",B24)),ISNUMBER(SEARCH("hollandais",B24)),ISNUMBER(SEARCH("néerlandais",B24)),ISNUMBER(SEARCH("allemand",B24)),ISNUMBER(SEARCH("autrichien",B24)),ISNUMBER(SEARCH("suisse",B24)),ISNUMBER(SEARCH("anglais",B24)),ISNUMBER(SEARCH("britannique",B24)),ISNUMBER(SEARCH("écossais",B24)),ISNUMBER(SEARCH("irlandais",B24)),ISNUMBER(SEARCH("russe",B24)),ISNUMBER(SEARCH("portugais",B24)),ISNUMBER(SEARCH("danois",B24)),ISNUMBER(SEARCH("norvégien",B24)),ISNUMBER(SEARCH("suédois",B24)),ISNUMBER(SEARCH("finlandais",B24)),ISNUMBER(SEARCH("polonais",B24)),ISNUMBER(SEARCH("tchèque",B24)),ISNUMBER(SEARCH("hongrois",B24)),ISNUMBER(SEARCH("grec",B24)),ISNUMBER(SEARCH("byzantin",B24)),ISNUMBER(SEARCH("croate",B24)),ISNUMBER(SEARCH("ukrainien",B24)),ISNUMBER(SEARCH("bulgare",B24)),ISNUMBER(SEARCH("biélorusse",B24)),ISNUMBER(SEARCH("maltais",B24))),"Autres pays d'Europe",IF(OR(ISNUMBER(SEARCH("américain",B24)),ISNUMBER(SEARCH("mexicain",B24)),ISNUMBER(SEARCH("canadien",B24)),ISNUMBER(SEARCH("brésilien",B24)),ISNUMBER(SEARCH("argentin",B24))),"Amérique",IF(OR(ISNUMBER(SEARCH("chinois",B24)),ISNUMBER(SEARCH("japonais",B24)),ISNUMBER(SEARCH("coréen",B24)),ISNUMBER(SEARCH("indien",B24)),ISNUMBER(SEARCH("persan",B24)),ISNUMBER(SEARCH("iranien",B24))),"Asie","(non classée)"))))</f>
        <v/>
      </c>
    </row>
    <row r="25">
      <c r="A25" s="2" t="inlineStr">
        <is>
          <t>ALESSANDRO ALLORI</t>
        </is>
      </c>
      <c r="B25" s="2" t="inlineStr">
        <is>
          <t>italienne</t>
        </is>
      </c>
      <c r="C25" s="2" t="inlineStr">
        <is>
          <t>peinture</t>
        </is>
      </c>
      <c r="D25" s="2" t="inlineStr">
        <is>
          <t>16e</t>
        </is>
      </c>
      <c r="U25">
        <f>IF(ISNUMBER(SEARCH("fran",B25)),"France",IF(OR(ISNUMBER(SEARCH("italien",B25)),ISNUMBER(SEARCH("espagn",B25)),ISNUMBER(SEARCH("catalan",B25)),ISNUMBER(SEARCH("flamand",B25)),ISNUMBER(SEARCH("belge",B25)),ISNUMBER(SEARCH("hollandais",B25)),ISNUMBER(SEARCH("néerlandais",B25)),ISNUMBER(SEARCH("allemand",B25)),ISNUMBER(SEARCH("autrichien",B25)),ISNUMBER(SEARCH("suisse",B25)),ISNUMBER(SEARCH("anglais",B25)),ISNUMBER(SEARCH("britannique",B25)),ISNUMBER(SEARCH("écossais",B25)),ISNUMBER(SEARCH("irlandais",B25)),ISNUMBER(SEARCH("russe",B25)),ISNUMBER(SEARCH("portugais",B25)),ISNUMBER(SEARCH("danois",B25)),ISNUMBER(SEARCH("norvégien",B25)),ISNUMBER(SEARCH("suédois",B25)),ISNUMBER(SEARCH("finlandais",B25)),ISNUMBER(SEARCH("polonais",B25)),ISNUMBER(SEARCH("tchèque",B25)),ISNUMBER(SEARCH("hongrois",B25)),ISNUMBER(SEARCH("grec",B25)),ISNUMBER(SEARCH("byzantin",B25)),ISNUMBER(SEARCH("croate",B25)),ISNUMBER(SEARCH("ukrainien",B25)),ISNUMBER(SEARCH("bulgare",B25)),ISNUMBER(SEARCH("biélorusse",B25)),ISNUMBER(SEARCH("maltais",B25))),"Autres pays d'Europe",IF(OR(ISNUMBER(SEARCH("américain",B25)),ISNUMBER(SEARCH("mexicain",B25)),ISNUMBER(SEARCH("canadien",B25)),ISNUMBER(SEARCH("brésilien",B25)),ISNUMBER(SEARCH("argentin",B25))),"Amérique",IF(OR(ISNUMBER(SEARCH("chinois",B25)),ISNUMBER(SEARCH("japonais",B25)),ISNUMBER(SEARCH("coréen",B25)),ISNUMBER(SEARCH("indien",B25)),ISNUMBER(SEARCH("persan",B25)),ISNUMBER(SEARCH("iranien",B25))),"Asie","(non classée)"))))</f>
        <v/>
      </c>
    </row>
    <row r="26">
      <c r="A26" s="2" t="inlineStr">
        <is>
          <t>ALESSANDRO LEOPARDI</t>
        </is>
      </c>
      <c r="B26" s="2" t="inlineStr">
        <is>
          <t>italienne</t>
        </is>
      </c>
      <c r="C26" s="2" t="inlineStr">
        <is>
          <t>sculpture</t>
        </is>
      </c>
      <c r="D26" s="2" t="inlineStr">
        <is>
          <t>16e</t>
        </is>
      </c>
      <c r="F26" s="1" t="inlineStr">
        <is>
          <t>NOMBRES DE SCULPTURES REPRESENTES</t>
        </is>
      </c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5" t="n"/>
      <c r="U26">
        <f>IF(ISNUMBER(SEARCH("fran",B26)),"France",IF(OR(ISNUMBER(SEARCH("italien",B26)),ISNUMBER(SEARCH("espagn",B26)),ISNUMBER(SEARCH("catalan",B26)),ISNUMBER(SEARCH("flamand",B26)),ISNUMBER(SEARCH("belge",B26)),ISNUMBER(SEARCH("hollandais",B26)),ISNUMBER(SEARCH("néerlandais",B26)),ISNUMBER(SEARCH("allemand",B26)),ISNUMBER(SEARCH("autrichien",B26)),ISNUMBER(SEARCH("suisse",B26)),ISNUMBER(SEARCH("anglais",B26)),ISNUMBER(SEARCH("britannique",B26)),ISNUMBER(SEARCH("écossais",B26)),ISNUMBER(SEARCH("irlandais",B26)),ISNUMBER(SEARCH("russe",B26)),ISNUMBER(SEARCH("portugais",B26)),ISNUMBER(SEARCH("danois",B26)),ISNUMBER(SEARCH("norvégien",B26)),ISNUMBER(SEARCH("suédois",B26)),ISNUMBER(SEARCH("finlandais",B26)),ISNUMBER(SEARCH("polonais",B26)),ISNUMBER(SEARCH("tchèque",B26)),ISNUMBER(SEARCH("hongrois",B26)),ISNUMBER(SEARCH("grec",B26)),ISNUMBER(SEARCH("byzantin",B26)),ISNUMBER(SEARCH("croate",B26)),ISNUMBER(SEARCH("ukrainien",B26)),ISNUMBER(SEARCH("bulgare",B26)),ISNUMBER(SEARCH("biélorusse",B26)),ISNUMBER(SEARCH("maltais",B26))),"Autres pays d'Europe",IF(OR(ISNUMBER(SEARCH("américain",B26)),ISNUMBER(SEARCH("mexicain",B26)),ISNUMBER(SEARCH("canadien",B26)),ISNUMBER(SEARCH("brésilien",B26)),ISNUMBER(SEARCH("argentin",B26))),"Amérique",IF(OR(ISNUMBER(SEARCH("chinois",B26)),ISNUMBER(SEARCH("japonais",B26)),ISNUMBER(SEARCH("coréen",B26)),ISNUMBER(SEARCH("indien",B26)),ISNUMBER(SEARCH("persan",B26)),ISNUMBER(SEARCH("iranien",B26))),"Asie","(non classée)"))))</f>
        <v/>
      </c>
    </row>
    <row r="27">
      <c r="A27" s="2" t="inlineStr">
        <is>
          <t>ALESSANDRO VITTORIA</t>
        </is>
      </c>
      <c r="B27" s="2" t="inlineStr">
        <is>
          <t>italienne</t>
        </is>
      </c>
      <c r="C27" s="2" t="inlineStr">
        <is>
          <t>sculpture</t>
        </is>
      </c>
      <c r="D27" s="2" t="inlineStr">
        <is>
          <t>16e</t>
        </is>
      </c>
      <c r="F27" s="2" t="n"/>
      <c r="G27" s="1" t="n">
        <v>14</v>
      </c>
      <c r="H27" s="5" t="n"/>
      <c r="I27" s="1" t="n">
        <v>15</v>
      </c>
      <c r="J27" s="5" t="n"/>
      <c r="K27" s="1" t="n">
        <v>16</v>
      </c>
      <c r="L27" s="5" t="n"/>
      <c r="M27" s="1" t="n">
        <v>17</v>
      </c>
      <c r="N27" s="5" t="n"/>
      <c r="O27" s="1" t="n">
        <v>18</v>
      </c>
      <c r="P27" s="5" t="n"/>
      <c r="Q27" s="1" t="n">
        <v>19</v>
      </c>
      <c r="R27" s="5" t="n"/>
      <c r="S27" s="1" t="n">
        <v>20</v>
      </c>
      <c r="T27" s="5" t="n"/>
      <c r="U27">
        <f>IF(ISNUMBER(SEARCH("fran",B27)),"France",IF(OR(ISNUMBER(SEARCH("italien",B27)),ISNUMBER(SEARCH("espagn",B27)),ISNUMBER(SEARCH("catalan",B27)),ISNUMBER(SEARCH("flamand",B27)),ISNUMBER(SEARCH("belge",B27)),ISNUMBER(SEARCH("hollandais",B27)),ISNUMBER(SEARCH("néerlandais",B27)),ISNUMBER(SEARCH("allemand",B27)),ISNUMBER(SEARCH("autrichien",B27)),ISNUMBER(SEARCH("suisse",B27)),ISNUMBER(SEARCH("anglais",B27)),ISNUMBER(SEARCH("britannique",B27)),ISNUMBER(SEARCH("écossais",B27)),ISNUMBER(SEARCH("irlandais",B27)),ISNUMBER(SEARCH("russe",B27)),ISNUMBER(SEARCH("portugais",B27)),ISNUMBER(SEARCH("danois",B27)),ISNUMBER(SEARCH("norvégien",B27)),ISNUMBER(SEARCH("suédois",B27)),ISNUMBER(SEARCH("finlandais",B27)),ISNUMBER(SEARCH("polonais",B27)),ISNUMBER(SEARCH("tchèque",B27)),ISNUMBER(SEARCH("hongrois",B27)),ISNUMBER(SEARCH("grec",B27)),ISNUMBER(SEARCH("byzantin",B27)),ISNUMBER(SEARCH("croate",B27)),ISNUMBER(SEARCH("ukrainien",B27)),ISNUMBER(SEARCH("bulgare",B27)),ISNUMBER(SEARCH("biélorusse",B27)),ISNUMBER(SEARCH("maltais",B27))),"Autres pays d'Europe",IF(OR(ISNUMBER(SEARCH("américain",B27)),ISNUMBER(SEARCH("mexicain",B27)),ISNUMBER(SEARCH("canadien",B27)),ISNUMBER(SEARCH("brésilien",B27)),ISNUMBER(SEARCH("argentin",B27))),"Amérique",IF(OR(ISNUMBER(SEARCH("chinois",B27)),ISNUMBER(SEARCH("japonais",B27)),ISNUMBER(SEARCH("coréen",B27)),ISNUMBER(SEARCH("indien",B27)),ISNUMBER(SEARCH("persan",B27)),ISNUMBER(SEARCH("iranien",B27))),"Asie","(non classée)"))))</f>
        <v/>
      </c>
    </row>
    <row r="28">
      <c r="A28" s="2" t="inlineStr">
        <is>
          <t>ALESSO BALDOVINETTI</t>
        </is>
      </c>
      <c r="B28" s="2" t="inlineStr">
        <is>
          <t>italienne</t>
        </is>
      </c>
      <c r="C28" s="2" t="inlineStr">
        <is>
          <t>peinture</t>
        </is>
      </c>
      <c r="D28" s="2" t="inlineStr">
        <is>
          <t>15e</t>
        </is>
      </c>
      <c r="F28" s="2" t="n"/>
      <c r="G28" s="2" t="inlineStr">
        <is>
          <t>peinture</t>
        </is>
      </c>
      <c r="H28" s="2" t="inlineStr">
        <is>
          <t>sculpture.</t>
        </is>
      </c>
      <c r="I28" s="2" t="inlineStr">
        <is>
          <t>peinture</t>
        </is>
      </c>
      <c r="J28" s="2" t="inlineStr">
        <is>
          <t>sculpture.</t>
        </is>
      </c>
      <c r="K28" s="2" t="inlineStr">
        <is>
          <t>peinture</t>
        </is>
      </c>
      <c r="L28" s="2" t="inlineStr">
        <is>
          <t>sculpture.</t>
        </is>
      </c>
      <c r="M28" s="2" t="inlineStr">
        <is>
          <t>peinture</t>
        </is>
      </c>
      <c r="N28" s="2" t="inlineStr">
        <is>
          <t>sculpture.</t>
        </is>
      </c>
      <c r="O28" s="2" t="inlineStr">
        <is>
          <t>peinture</t>
        </is>
      </c>
      <c r="P28" s="2" t="inlineStr">
        <is>
          <t>sculpture.</t>
        </is>
      </c>
      <c r="Q28" s="2" t="inlineStr">
        <is>
          <t>peinture</t>
        </is>
      </c>
      <c r="R28" s="2" t="inlineStr">
        <is>
          <t>sculpture.</t>
        </is>
      </c>
      <c r="S28" s="2" t="inlineStr">
        <is>
          <t>peinture</t>
        </is>
      </c>
      <c r="T28" s="2" t="inlineStr">
        <is>
          <t>sculpture.</t>
        </is>
      </c>
      <c r="U28">
        <f>IF(ISNUMBER(SEARCH("fran",B28)),"France",IF(OR(ISNUMBER(SEARCH("italien",B28)),ISNUMBER(SEARCH("espagn",B28)),ISNUMBER(SEARCH("catalan",B28)),ISNUMBER(SEARCH("flamand",B28)),ISNUMBER(SEARCH("belge",B28)),ISNUMBER(SEARCH("hollandais",B28)),ISNUMBER(SEARCH("néerlandais",B28)),ISNUMBER(SEARCH("allemand",B28)),ISNUMBER(SEARCH("autrichien",B28)),ISNUMBER(SEARCH("suisse",B28)),ISNUMBER(SEARCH("anglais",B28)),ISNUMBER(SEARCH("britannique",B28)),ISNUMBER(SEARCH("écossais",B28)),ISNUMBER(SEARCH("irlandais",B28)),ISNUMBER(SEARCH("russe",B28)),ISNUMBER(SEARCH("portugais",B28)),ISNUMBER(SEARCH("danois",B28)),ISNUMBER(SEARCH("norvégien",B28)),ISNUMBER(SEARCH("suédois",B28)),ISNUMBER(SEARCH("finlandais",B28)),ISNUMBER(SEARCH("polonais",B28)),ISNUMBER(SEARCH("tchèque",B28)),ISNUMBER(SEARCH("hongrois",B28)),ISNUMBER(SEARCH("grec",B28)),ISNUMBER(SEARCH("byzantin",B28)),ISNUMBER(SEARCH("croate",B28)),ISNUMBER(SEARCH("ukrainien",B28)),ISNUMBER(SEARCH("bulgare",B28)),ISNUMBER(SEARCH("biélorusse",B28)),ISNUMBER(SEARCH("maltais",B28))),"Autres pays d'Europe",IF(OR(ISNUMBER(SEARCH("américain",B28)),ISNUMBER(SEARCH("mexicain",B28)),ISNUMBER(SEARCH("canadien",B28)),ISNUMBER(SEARCH("brésilien",B28)),ISNUMBER(SEARCH("argentin",B28))),"Amérique",IF(OR(ISNUMBER(SEARCH("chinois",B28)),ISNUMBER(SEARCH("japonais",B28)),ISNUMBER(SEARCH("coréen",B28)),ISNUMBER(SEARCH("indien",B28)),ISNUMBER(SEARCH("persan",B28)),ISNUMBER(SEARCH("iranien",B28))),"Asie","(non classée)"))))</f>
        <v/>
      </c>
    </row>
    <row r="29">
      <c r="A29" s="2" t="inlineStr">
        <is>
          <t>ALEXANDER ROSLIN</t>
        </is>
      </c>
      <c r="B29" s="2" t="inlineStr">
        <is>
          <t>suédoise</t>
        </is>
      </c>
      <c r="C29" s="2" t="inlineStr">
        <is>
          <t>peinture</t>
        </is>
      </c>
      <c r="D29" s="2" t="inlineStr">
        <is>
          <t>18e</t>
        </is>
      </c>
      <c r="F29" s="2" t="inlineStr">
        <is>
          <t>France</t>
        </is>
      </c>
      <c r="G29" s="2" t="n"/>
      <c r="H29" s="2" t="n">
        <v>5</v>
      </c>
      <c r="I29" s="2" t="n"/>
      <c r="J29" s="2" t="n">
        <v>0</v>
      </c>
      <c r="K29" s="2" t="n"/>
      <c r="L29" s="2" t="n">
        <v>16</v>
      </c>
      <c r="M29" s="2" t="n"/>
      <c r="N29" s="2" t="n">
        <v>28</v>
      </c>
      <c r="O29" s="2" t="n"/>
      <c r="P29" s="2" t="n">
        <v>44</v>
      </c>
      <c r="Q29" s="2" t="n"/>
      <c r="R29" s="2" t="n">
        <v>103</v>
      </c>
      <c r="S29" s="2" t="n"/>
      <c r="T29" s="2" t="n">
        <v>8</v>
      </c>
      <c r="U29">
        <f>IF(ISNUMBER(SEARCH("fran",B29)),"France",IF(OR(ISNUMBER(SEARCH("italien",B29)),ISNUMBER(SEARCH("espagn",B29)),ISNUMBER(SEARCH("catalan",B29)),ISNUMBER(SEARCH("flamand",B29)),ISNUMBER(SEARCH("belge",B29)),ISNUMBER(SEARCH("hollandais",B29)),ISNUMBER(SEARCH("néerlandais",B29)),ISNUMBER(SEARCH("allemand",B29)),ISNUMBER(SEARCH("autrichien",B29)),ISNUMBER(SEARCH("suisse",B29)),ISNUMBER(SEARCH("anglais",B29)),ISNUMBER(SEARCH("britannique",B29)),ISNUMBER(SEARCH("écossais",B29)),ISNUMBER(SEARCH("irlandais",B29)),ISNUMBER(SEARCH("russe",B29)),ISNUMBER(SEARCH("portugais",B29)),ISNUMBER(SEARCH("danois",B29)),ISNUMBER(SEARCH("norvégien",B29)),ISNUMBER(SEARCH("suédois",B29)),ISNUMBER(SEARCH("finlandais",B29)),ISNUMBER(SEARCH("polonais",B29)),ISNUMBER(SEARCH("tchèque",B29)),ISNUMBER(SEARCH("hongrois",B29)),ISNUMBER(SEARCH("grec",B29)),ISNUMBER(SEARCH("byzantin",B29)),ISNUMBER(SEARCH("croate",B29)),ISNUMBER(SEARCH("ukrainien",B29)),ISNUMBER(SEARCH("bulgare",B29)),ISNUMBER(SEARCH("biélorusse",B29)),ISNUMBER(SEARCH("maltais",B29))),"Autres pays d'Europe",IF(OR(ISNUMBER(SEARCH("américain",B29)),ISNUMBER(SEARCH("mexicain",B29)),ISNUMBER(SEARCH("canadien",B29)),ISNUMBER(SEARCH("brésilien",B29)),ISNUMBER(SEARCH("argentin",B29))),"Amérique",IF(OR(ISNUMBER(SEARCH("chinois",B29)),ISNUMBER(SEARCH("japonais",B29)),ISNUMBER(SEARCH("coréen",B29)),ISNUMBER(SEARCH("indien",B29)),ISNUMBER(SEARCH("persan",B29)),ISNUMBER(SEARCH("iranien",B29))),"Asie","(non classée)"))))</f>
        <v/>
      </c>
    </row>
    <row r="30">
      <c r="A30" s="2" t="inlineStr">
        <is>
          <t>ALEXANDER STIRLING CALDER</t>
        </is>
      </c>
      <c r="B30" s="2" t="inlineStr">
        <is>
          <t>américaine</t>
        </is>
      </c>
      <c r="C30" s="2" t="inlineStr">
        <is>
          <t>sculpture</t>
        </is>
      </c>
      <c r="D30" s="2" t="inlineStr">
        <is>
          <t>20e</t>
        </is>
      </c>
      <c r="F30" s="2" t="inlineStr">
        <is>
          <t>Autres pays d'Europe</t>
        </is>
      </c>
      <c r="G30" s="2" t="n"/>
      <c r="H30" s="2" t="n">
        <v>25</v>
      </c>
      <c r="I30" s="2" t="n"/>
      <c r="J30" s="2" t="n">
        <v>31</v>
      </c>
      <c r="K30" s="2" t="n"/>
      <c r="L30" s="2" t="n">
        <v>74</v>
      </c>
      <c r="M30" s="2" t="n"/>
      <c r="N30" s="2" t="n">
        <v>63</v>
      </c>
      <c r="O30" s="2" t="n"/>
      <c r="P30" s="2" t="n">
        <v>46</v>
      </c>
      <c r="Q30" s="2" t="n"/>
      <c r="R30" s="2" t="n">
        <v>78</v>
      </c>
      <c r="S30" s="2" t="n"/>
      <c r="T30" s="2" t="n">
        <v>14</v>
      </c>
      <c r="U30">
        <f>IF(ISNUMBER(SEARCH("fran",B30)),"France",IF(OR(ISNUMBER(SEARCH("italien",B30)),ISNUMBER(SEARCH("espagn",B30)),ISNUMBER(SEARCH("catalan",B30)),ISNUMBER(SEARCH("flamand",B30)),ISNUMBER(SEARCH("belge",B30)),ISNUMBER(SEARCH("hollandais",B30)),ISNUMBER(SEARCH("néerlandais",B30)),ISNUMBER(SEARCH("allemand",B30)),ISNUMBER(SEARCH("autrichien",B30)),ISNUMBER(SEARCH("suisse",B30)),ISNUMBER(SEARCH("anglais",B30)),ISNUMBER(SEARCH("britannique",B30)),ISNUMBER(SEARCH("écossais",B30)),ISNUMBER(SEARCH("irlandais",B30)),ISNUMBER(SEARCH("russe",B30)),ISNUMBER(SEARCH("portugais",B30)),ISNUMBER(SEARCH("danois",B30)),ISNUMBER(SEARCH("norvégien",B30)),ISNUMBER(SEARCH("suédois",B30)),ISNUMBER(SEARCH("finlandais",B30)),ISNUMBER(SEARCH("polonais",B30)),ISNUMBER(SEARCH("tchèque",B30)),ISNUMBER(SEARCH("hongrois",B30)),ISNUMBER(SEARCH("grec",B30)),ISNUMBER(SEARCH("byzantin",B30)),ISNUMBER(SEARCH("croate",B30)),ISNUMBER(SEARCH("ukrainien",B30)),ISNUMBER(SEARCH("bulgare",B30)),ISNUMBER(SEARCH("biélorusse",B30)),ISNUMBER(SEARCH("maltais",B30))),"Autres pays d'Europe",IF(OR(ISNUMBER(SEARCH("américain",B30)),ISNUMBER(SEARCH("mexicain",B30)),ISNUMBER(SEARCH("canadien",B30)),ISNUMBER(SEARCH("brésilien",B30)),ISNUMBER(SEARCH("argentin",B30))),"Amérique",IF(OR(ISNUMBER(SEARCH("chinois",B30)),ISNUMBER(SEARCH("japonais",B30)),ISNUMBER(SEARCH("coréen",B30)),ISNUMBER(SEARCH("indien",B30)),ISNUMBER(SEARCH("persan",B30)),ISNUMBER(SEARCH("iranien",B30))),"Asie","(non classée)"))))</f>
        <v/>
      </c>
    </row>
    <row r="31">
      <c r="A31" s="2" t="inlineStr">
        <is>
          <t>ALEXANDRE FALGUIÈRE</t>
        </is>
      </c>
      <c r="B31" s="2" t="inlineStr">
        <is>
          <t>française</t>
        </is>
      </c>
      <c r="C31" s="2" t="inlineStr">
        <is>
          <t>sculpture</t>
        </is>
      </c>
      <c r="D31" s="2" t="inlineStr">
        <is>
          <t>19e</t>
        </is>
      </c>
      <c r="F31" s="2" t="inlineStr">
        <is>
          <t xml:space="preserve">Amérique </t>
        </is>
      </c>
      <c r="G31" s="2" t="n"/>
      <c r="H31" s="2" t="n">
        <v>0</v>
      </c>
      <c r="I31" s="2" t="n"/>
      <c r="J31" s="2" t="n">
        <v>0</v>
      </c>
      <c r="K31" s="2" t="n"/>
      <c r="L31" s="2" t="n">
        <v>0</v>
      </c>
      <c r="M31" s="2" t="n"/>
      <c r="N31" s="2" t="n">
        <v>0</v>
      </c>
      <c r="O31" s="2" t="n"/>
      <c r="P31" s="2" t="n">
        <v>0</v>
      </c>
      <c r="Q31" s="2" t="n"/>
      <c r="R31" s="2" t="n">
        <v>27</v>
      </c>
      <c r="S31" s="2" t="n"/>
      <c r="T31" s="2" t="n">
        <v>8</v>
      </c>
      <c r="U31">
        <f>IF(ISNUMBER(SEARCH("fran",B31)),"France",IF(OR(ISNUMBER(SEARCH("italien",B31)),ISNUMBER(SEARCH("espagn",B31)),ISNUMBER(SEARCH("catalan",B31)),ISNUMBER(SEARCH("flamand",B31)),ISNUMBER(SEARCH("belge",B31)),ISNUMBER(SEARCH("hollandais",B31)),ISNUMBER(SEARCH("néerlandais",B31)),ISNUMBER(SEARCH("allemand",B31)),ISNUMBER(SEARCH("autrichien",B31)),ISNUMBER(SEARCH("suisse",B31)),ISNUMBER(SEARCH("anglais",B31)),ISNUMBER(SEARCH("britannique",B31)),ISNUMBER(SEARCH("écossais",B31)),ISNUMBER(SEARCH("irlandais",B31)),ISNUMBER(SEARCH("russe",B31)),ISNUMBER(SEARCH("portugais",B31)),ISNUMBER(SEARCH("danois",B31)),ISNUMBER(SEARCH("norvégien",B31)),ISNUMBER(SEARCH("suédois",B31)),ISNUMBER(SEARCH("finlandais",B31)),ISNUMBER(SEARCH("polonais",B31)),ISNUMBER(SEARCH("tchèque",B31)),ISNUMBER(SEARCH("hongrois",B31)),ISNUMBER(SEARCH("grec",B31)),ISNUMBER(SEARCH("byzantin",B31)),ISNUMBER(SEARCH("croate",B31)),ISNUMBER(SEARCH("ukrainien",B31)),ISNUMBER(SEARCH("bulgare",B31)),ISNUMBER(SEARCH("biélorusse",B31)),ISNUMBER(SEARCH("maltais",B31))),"Autres pays d'Europe",IF(OR(ISNUMBER(SEARCH("américain",B31)),ISNUMBER(SEARCH("mexicain",B31)),ISNUMBER(SEARCH("canadien",B31)),ISNUMBER(SEARCH("brésilien",B31)),ISNUMBER(SEARCH("argentin",B31))),"Amérique",IF(OR(ISNUMBER(SEARCH("chinois",B31)),ISNUMBER(SEARCH("japonais",B31)),ISNUMBER(SEARCH("coréen",B31)),ISNUMBER(SEARCH("indien",B31)),ISNUMBER(SEARCH("persan",B31)),ISNUMBER(SEARCH("iranien",B31))),"Asie","(non classée)"))))</f>
        <v/>
      </c>
    </row>
    <row r="32">
      <c r="A32" s="2" t="inlineStr">
        <is>
          <t>ALEXEJ VON JAWLENSKY</t>
        </is>
      </c>
      <c r="B32" s="2" t="inlineStr">
        <is>
          <t>russe</t>
        </is>
      </c>
      <c r="C32" s="2" t="inlineStr">
        <is>
          <t>peinture</t>
        </is>
      </c>
      <c r="D32" s="2" t="inlineStr">
        <is>
          <t>20e</t>
        </is>
      </c>
      <c r="F32" s="2" t="inlineStr">
        <is>
          <t>Asie</t>
        </is>
      </c>
      <c r="G32" s="2" t="n"/>
      <c r="H32" s="2" t="n">
        <v>0</v>
      </c>
      <c r="I32" s="2" t="n"/>
      <c r="J32" s="2" t="n">
        <v>0</v>
      </c>
      <c r="K32" s="2" t="n"/>
      <c r="L32" s="2" t="n">
        <v>0</v>
      </c>
      <c r="M32" s="2" t="n"/>
      <c r="N32" s="2" t="n">
        <v>0</v>
      </c>
      <c r="O32" s="2" t="n"/>
      <c r="P32" s="2" t="n">
        <v>0</v>
      </c>
      <c r="Q32" s="2" t="n"/>
      <c r="R32" s="2" t="n">
        <v>2</v>
      </c>
      <c r="S32" s="2" t="n"/>
      <c r="T32" s="2" t="n">
        <v>0</v>
      </c>
      <c r="U32">
        <f>IF(ISNUMBER(SEARCH("fran",B32)),"France",IF(OR(ISNUMBER(SEARCH("italien",B32)),ISNUMBER(SEARCH("espagn",B32)),ISNUMBER(SEARCH("catalan",B32)),ISNUMBER(SEARCH("flamand",B32)),ISNUMBER(SEARCH("belge",B32)),ISNUMBER(SEARCH("hollandais",B32)),ISNUMBER(SEARCH("néerlandais",B32)),ISNUMBER(SEARCH("allemand",B32)),ISNUMBER(SEARCH("autrichien",B32)),ISNUMBER(SEARCH("suisse",B32)),ISNUMBER(SEARCH("anglais",B32)),ISNUMBER(SEARCH("britannique",B32)),ISNUMBER(SEARCH("écossais",B32)),ISNUMBER(SEARCH("irlandais",B32)),ISNUMBER(SEARCH("russe",B32)),ISNUMBER(SEARCH("portugais",B32)),ISNUMBER(SEARCH("danois",B32)),ISNUMBER(SEARCH("norvégien",B32)),ISNUMBER(SEARCH("suédois",B32)),ISNUMBER(SEARCH("finlandais",B32)),ISNUMBER(SEARCH("polonais",B32)),ISNUMBER(SEARCH("tchèque",B32)),ISNUMBER(SEARCH("hongrois",B32)),ISNUMBER(SEARCH("grec",B32)),ISNUMBER(SEARCH("byzantin",B32)),ISNUMBER(SEARCH("croate",B32)),ISNUMBER(SEARCH("ukrainien",B32)),ISNUMBER(SEARCH("bulgare",B32)),ISNUMBER(SEARCH("biélorusse",B32)),ISNUMBER(SEARCH("maltais",B32))),"Autres pays d'Europe",IF(OR(ISNUMBER(SEARCH("américain",B32)),ISNUMBER(SEARCH("mexicain",B32)),ISNUMBER(SEARCH("canadien",B32)),ISNUMBER(SEARCH("brésilien",B32)),ISNUMBER(SEARCH("argentin",B32))),"Amérique",IF(OR(ISNUMBER(SEARCH("chinois",B32)),ISNUMBER(SEARCH("japonais",B32)),ISNUMBER(SEARCH("coréen",B32)),ISNUMBER(SEARCH("indien",B32)),ISNUMBER(SEARCH("persan",B32)),ISNUMBER(SEARCH("iranien",B32))),"Asie","(non classée)"))))</f>
        <v/>
      </c>
    </row>
    <row r="33">
      <c r="A33" s="2" t="inlineStr">
        <is>
          <t>ALFRED BOUCHER</t>
        </is>
      </c>
      <c r="B33" s="2" t="inlineStr">
        <is>
          <t>française</t>
        </is>
      </c>
      <c r="C33" s="2" t="inlineStr">
        <is>
          <t>sculpture</t>
        </is>
      </c>
      <c r="D33" s="2" t="inlineStr">
        <is>
          <t>19e</t>
        </is>
      </c>
      <c r="U33">
        <f>IF(ISNUMBER(SEARCH("fran",B33)),"France",IF(OR(ISNUMBER(SEARCH("italien",B33)),ISNUMBER(SEARCH("espagn",B33)),ISNUMBER(SEARCH("catalan",B33)),ISNUMBER(SEARCH("flamand",B33)),ISNUMBER(SEARCH("belge",B33)),ISNUMBER(SEARCH("hollandais",B33)),ISNUMBER(SEARCH("néerlandais",B33)),ISNUMBER(SEARCH("allemand",B33)),ISNUMBER(SEARCH("autrichien",B33)),ISNUMBER(SEARCH("suisse",B33)),ISNUMBER(SEARCH("anglais",B33)),ISNUMBER(SEARCH("britannique",B33)),ISNUMBER(SEARCH("écossais",B33)),ISNUMBER(SEARCH("irlandais",B33)),ISNUMBER(SEARCH("russe",B33)),ISNUMBER(SEARCH("portugais",B33)),ISNUMBER(SEARCH("danois",B33)),ISNUMBER(SEARCH("norvégien",B33)),ISNUMBER(SEARCH("suédois",B33)),ISNUMBER(SEARCH("finlandais",B33)),ISNUMBER(SEARCH("polonais",B33)),ISNUMBER(SEARCH("tchèque",B33)),ISNUMBER(SEARCH("hongrois",B33)),ISNUMBER(SEARCH("grec",B33)),ISNUMBER(SEARCH("byzantin",B33)),ISNUMBER(SEARCH("croate",B33)),ISNUMBER(SEARCH("ukrainien",B33)),ISNUMBER(SEARCH("bulgare",B33)),ISNUMBER(SEARCH("biélorusse",B33)),ISNUMBER(SEARCH("maltais",B33))),"Autres pays d'Europe",IF(OR(ISNUMBER(SEARCH("américain",B33)),ISNUMBER(SEARCH("mexicain",B33)),ISNUMBER(SEARCH("canadien",B33)),ISNUMBER(SEARCH("brésilien",B33)),ISNUMBER(SEARCH("argentin",B33))),"Amérique",IF(OR(ISNUMBER(SEARCH("chinois",B33)),ISNUMBER(SEARCH("japonais",B33)),ISNUMBER(SEARCH("coréen",B33)),ISNUMBER(SEARCH("indien",B33)),ISNUMBER(SEARCH("persan",B33)),ISNUMBER(SEARCH("iranien",B33))),"Asie","(non classée)"))))</f>
        <v/>
      </c>
    </row>
    <row r="34">
      <c r="A34" s="2" t="inlineStr">
        <is>
          <t>ALFRED GILBERT</t>
        </is>
      </c>
      <c r="B34" s="2" t="inlineStr">
        <is>
          <t>anglaise (Royaume-Uni)</t>
        </is>
      </c>
      <c r="C34" s="2" t="inlineStr">
        <is>
          <t>sculpture</t>
        </is>
      </c>
      <c r="D34" s="2" t="inlineStr">
        <is>
          <t>20e</t>
        </is>
      </c>
      <c r="U34">
        <f>IF(ISNUMBER(SEARCH("fran",B34)),"France",IF(OR(ISNUMBER(SEARCH("italien",B34)),ISNUMBER(SEARCH("espagn",B34)),ISNUMBER(SEARCH("catalan",B34)),ISNUMBER(SEARCH("flamand",B34)),ISNUMBER(SEARCH("belge",B34)),ISNUMBER(SEARCH("hollandais",B34)),ISNUMBER(SEARCH("néerlandais",B34)),ISNUMBER(SEARCH("allemand",B34)),ISNUMBER(SEARCH("autrichien",B34)),ISNUMBER(SEARCH("suisse",B34)),ISNUMBER(SEARCH("anglais",B34)),ISNUMBER(SEARCH("britannique",B34)),ISNUMBER(SEARCH("écossais",B34)),ISNUMBER(SEARCH("irlandais",B34)),ISNUMBER(SEARCH("russe",B34)),ISNUMBER(SEARCH("portugais",B34)),ISNUMBER(SEARCH("danois",B34)),ISNUMBER(SEARCH("norvégien",B34)),ISNUMBER(SEARCH("suédois",B34)),ISNUMBER(SEARCH("finlandais",B34)),ISNUMBER(SEARCH("polonais",B34)),ISNUMBER(SEARCH("tchèque",B34)),ISNUMBER(SEARCH("hongrois",B34)),ISNUMBER(SEARCH("grec",B34)),ISNUMBER(SEARCH("byzantin",B34)),ISNUMBER(SEARCH("croate",B34)),ISNUMBER(SEARCH("ukrainien",B34)),ISNUMBER(SEARCH("bulgare",B34)),ISNUMBER(SEARCH("biélorusse",B34)),ISNUMBER(SEARCH("maltais",B34))),"Autres pays d'Europe",IF(OR(ISNUMBER(SEARCH("américain",B34)),ISNUMBER(SEARCH("mexicain",B34)),ISNUMBER(SEARCH("canadien",B34)),ISNUMBER(SEARCH("brésilien",B34)),ISNUMBER(SEARCH("argentin",B34))),"Amérique",IF(OR(ISNUMBER(SEARCH("chinois",B34)),ISNUMBER(SEARCH("japonais",B34)),ISNUMBER(SEARCH("coréen",B34)),ISNUMBER(SEARCH("indien",B34)),ISNUMBER(SEARCH("persan",B34)),ISNUMBER(SEARCH("iranien",B34))),"Asie","(non classée)"))))</f>
        <v/>
      </c>
    </row>
    <row r="35">
      <c r="A35" s="2" t="inlineStr">
        <is>
          <t>ALFRED GILBERT</t>
        </is>
      </c>
      <c r="B35" s="2" t="inlineStr">
        <is>
          <t>anglaise (Royaume-Uni)</t>
        </is>
      </c>
      <c r="C35" s="2" t="inlineStr">
        <is>
          <t>sculpture</t>
        </is>
      </c>
      <c r="D35" s="2" t="inlineStr">
        <is>
          <t>19e</t>
        </is>
      </c>
      <c r="U35">
        <f>IF(ISNUMBER(SEARCH("fran",B35)),"France",IF(OR(ISNUMBER(SEARCH("italien",B35)),ISNUMBER(SEARCH("espagn",B35)),ISNUMBER(SEARCH("catalan",B35)),ISNUMBER(SEARCH("flamand",B35)),ISNUMBER(SEARCH("belge",B35)),ISNUMBER(SEARCH("hollandais",B35)),ISNUMBER(SEARCH("néerlandais",B35)),ISNUMBER(SEARCH("allemand",B35)),ISNUMBER(SEARCH("autrichien",B35)),ISNUMBER(SEARCH("suisse",B35)),ISNUMBER(SEARCH("anglais",B35)),ISNUMBER(SEARCH("britannique",B35)),ISNUMBER(SEARCH("écossais",B35)),ISNUMBER(SEARCH("irlandais",B35)),ISNUMBER(SEARCH("russe",B35)),ISNUMBER(SEARCH("portugais",B35)),ISNUMBER(SEARCH("danois",B35)),ISNUMBER(SEARCH("norvégien",B35)),ISNUMBER(SEARCH("suédois",B35)),ISNUMBER(SEARCH("finlandais",B35)),ISNUMBER(SEARCH("polonais",B35)),ISNUMBER(SEARCH("tchèque",B35)),ISNUMBER(SEARCH("hongrois",B35)),ISNUMBER(SEARCH("grec",B35)),ISNUMBER(SEARCH("byzantin",B35)),ISNUMBER(SEARCH("croate",B35)),ISNUMBER(SEARCH("ukrainien",B35)),ISNUMBER(SEARCH("bulgare",B35)),ISNUMBER(SEARCH("biélorusse",B35)),ISNUMBER(SEARCH("maltais",B35))),"Autres pays d'Europe",IF(OR(ISNUMBER(SEARCH("américain",B35)),ISNUMBER(SEARCH("mexicain",B35)),ISNUMBER(SEARCH("canadien",B35)),ISNUMBER(SEARCH("brésilien",B35)),ISNUMBER(SEARCH("argentin",B35))),"Amérique",IF(OR(ISNUMBER(SEARCH("chinois",B35)),ISNUMBER(SEARCH("japonais",B35)),ISNUMBER(SEARCH("coréen",B35)),ISNUMBER(SEARCH("indien",B35)),ISNUMBER(SEARCH("persan",B35)),ISNUMBER(SEARCH("iranien",B35))),"Asie","(non classée)"))))</f>
        <v/>
      </c>
    </row>
    <row r="36">
      <c r="A36" s="2" t="inlineStr">
        <is>
          <t>ALFRED SISLEY</t>
        </is>
      </c>
      <c r="B36" s="2" t="inlineStr">
        <is>
          <t>française</t>
        </is>
      </c>
      <c r="C36" s="2" t="inlineStr">
        <is>
          <t>peinture</t>
        </is>
      </c>
      <c r="D36" s="2" t="inlineStr">
        <is>
          <t>19e</t>
        </is>
      </c>
      <c r="U36">
        <f>IF(ISNUMBER(SEARCH("fran",B36)),"France",IF(OR(ISNUMBER(SEARCH("italien",B36)),ISNUMBER(SEARCH("espagn",B36)),ISNUMBER(SEARCH("catalan",B36)),ISNUMBER(SEARCH("flamand",B36)),ISNUMBER(SEARCH("belge",B36)),ISNUMBER(SEARCH("hollandais",B36)),ISNUMBER(SEARCH("néerlandais",B36)),ISNUMBER(SEARCH("allemand",B36)),ISNUMBER(SEARCH("autrichien",B36)),ISNUMBER(SEARCH("suisse",B36)),ISNUMBER(SEARCH("anglais",B36)),ISNUMBER(SEARCH("britannique",B36)),ISNUMBER(SEARCH("écossais",B36)),ISNUMBER(SEARCH("irlandais",B36)),ISNUMBER(SEARCH("russe",B36)),ISNUMBER(SEARCH("portugais",B36)),ISNUMBER(SEARCH("danois",B36)),ISNUMBER(SEARCH("norvégien",B36)),ISNUMBER(SEARCH("suédois",B36)),ISNUMBER(SEARCH("finlandais",B36)),ISNUMBER(SEARCH("polonais",B36)),ISNUMBER(SEARCH("tchèque",B36)),ISNUMBER(SEARCH("hongrois",B36)),ISNUMBER(SEARCH("grec",B36)),ISNUMBER(SEARCH("byzantin",B36)),ISNUMBER(SEARCH("croate",B36)),ISNUMBER(SEARCH("ukrainien",B36)),ISNUMBER(SEARCH("bulgare",B36)),ISNUMBER(SEARCH("biélorusse",B36)),ISNUMBER(SEARCH("maltais",B36))),"Autres pays d'Europe",IF(OR(ISNUMBER(SEARCH("américain",B36)),ISNUMBER(SEARCH("mexicain",B36)),ISNUMBER(SEARCH("canadien",B36)),ISNUMBER(SEARCH("brésilien",B36)),ISNUMBER(SEARCH("argentin",B36))),"Amérique",IF(OR(ISNUMBER(SEARCH("chinois",B36)),ISNUMBER(SEARCH("japonais",B36)),ISNUMBER(SEARCH("coréen",B36)),ISNUMBER(SEARCH("indien",B36)),ISNUMBER(SEARCH("persan",B36)),ISNUMBER(SEARCH("iranien",B36))),"Asie","(non classée)"))))</f>
        <v/>
      </c>
    </row>
    <row r="37">
      <c r="A37" s="2" t="inlineStr">
        <is>
          <t>ALFRED STEVENS</t>
        </is>
      </c>
      <c r="B37" s="2" t="inlineStr">
        <is>
          <t>anglaise (Royaume-Uni)</t>
        </is>
      </c>
      <c r="C37" s="2" t="inlineStr">
        <is>
          <t>sculpture</t>
        </is>
      </c>
      <c r="D37" s="2" t="inlineStr">
        <is>
          <t>19e</t>
        </is>
      </c>
      <c r="U37">
        <f>IF(ISNUMBER(SEARCH("fran",B37)),"France",IF(OR(ISNUMBER(SEARCH("italien",B37)),ISNUMBER(SEARCH("espagn",B37)),ISNUMBER(SEARCH("catalan",B37)),ISNUMBER(SEARCH("flamand",B37)),ISNUMBER(SEARCH("belge",B37)),ISNUMBER(SEARCH("hollandais",B37)),ISNUMBER(SEARCH("néerlandais",B37)),ISNUMBER(SEARCH("allemand",B37)),ISNUMBER(SEARCH("autrichien",B37)),ISNUMBER(SEARCH("suisse",B37)),ISNUMBER(SEARCH("anglais",B37)),ISNUMBER(SEARCH("britannique",B37)),ISNUMBER(SEARCH("écossais",B37)),ISNUMBER(SEARCH("irlandais",B37)),ISNUMBER(SEARCH("russe",B37)),ISNUMBER(SEARCH("portugais",B37)),ISNUMBER(SEARCH("danois",B37)),ISNUMBER(SEARCH("norvégien",B37)),ISNUMBER(SEARCH("suédois",B37)),ISNUMBER(SEARCH("finlandais",B37)),ISNUMBER(SEARCH("polonais",B37)),ISNUMBER(SEARCH("tchèque",B37)),ISNUMBER(SEARCH("hongrois",B37)),ISNUMBER(SEARCH("grec",B37)),ISNUMBER(SEARCH("byzantin",B37)),ISNUMBER(SEARCH("croate",B37)),ISNUMBER(SEARCH("ukrainien",B37)),ISNUMBER(SEARCH("bulgare",B37)),ISNUMBER(SEARCH("biélorusse",B37)),ISNUMBER(SEARCH("maltais",B37))),"Autres pays d'Europe",IF(OR(ISNUMBER(SEARCH("américain",B37)),ISNUMBER(SEARCH("mexicain",B37)),ISNUMBER(SEARCH("canadien",B37)),ISNUMBER(SEARCH("brésilien",B37)),ISNUMBER(SEARCH("argentin",B37))),"Amérique",IF(OR(ISNUMBER(SEARCH("chinois",B37)),ISNUMBER(SEARCH("japonais",B37)),ISNUMBER(SEARCH("coréen",B37)),ISNUMBER(SEARCH("indien",B37)),ISNUMBER(SEARCH("persan",B37)),ISNUMBER(SEARCH("iranien",B37))),"Asie","(non classée)"))))</f>
        <v/>
      </c>
    </row>
    <row r="38">
      <c r="A38" s="2" t="inlineStr">
        <is>
          <t>ALLAN RAMSAY</t>
        </is>
      </c>
      <c r="B38" s="2" t="inlineStr">
        <is>
          <t>anglaise (Royaume-Uni)</t>
        </is>
      </c>
      <c r="C38" s="2" t="inlineStr">
        <is>
          <t>peinture</t>
        </is>
      </c>
      <c r="D38" s="2" t="inlineStr">
        <is>
          <t>18e</t>
        </is>
      </c>
      <c r="U38">
        <f>IF(ISNUMBER(SEARCH("fran",B38)),"France",IF(OR(ISNUMBER(SEARCH("italien",B38)),ISNUMBER(SEARCH("espagn",B38)),ISNUMBER(SEARCH("catalan",B38)),ISNUMBER(SEARCH("flamand",B38)),ISNUMBER(SEARCH("belge",B38)),ISNUMBER(SEARCH("hollandais",B38)),ISNUMBER(SEARCH("néerlandais",B38)),ISNUMBER(SEARCH("allemand",B38)),ISNUMBER(SEARCH("autrichien",B38)),ISNUMBER(SEARCH("suisse",B38)),ISNUMBER(SEARCH("anglais",B38)),ISNUMBER(SEARCH("britannique",B38)),ISNUMBER(SEARCH("écossais",B38)),ISNUMBER(SEARCH("irlandais",B38)),ISNUMBER(SEARCH("russe",B38)),ISNUMBER(SEARCH("portugais",B38)),ISNUMBER(SEARCH("danois",B38)),ISNUMBER(SEARCH("norvégien",B38)),ISNUMBER(SEARCH("suédois",B38)),ISNUMBER(SEARCH("finlandais",B38)),ISNUMBER(SEARCH("polonais",B38)),ISNUMBER(SEARCH("tchèque",B38)),ISNUMBER(SEARCH("hongrois",B38)),ISNUMBER(SEARCH("grec",B38)),ISNUMBER(SEARCH("byzantin",B38)),ISNUMBER(SEARCH("croate",B38)),ISNUMBER(SEARCH("ukrainien",B38)),ISNUMBER(SEARCH("bulgare",B38)),ISNUMBER(SEARCH("biélorusse",B38)),ISNUMBER(SEARCH("maltais",B38))),"Autres pays d'Europe",IF(OR(ISNUMBER(SEARCH("américain",B38)),ISNUMBER(SEARCH("mexicain",B38)),ISNUMBER(SEARCH("canadien",B38)),ISNUMBER(SEARCH("brésilien",B38)),ISNUMBER(SEARCH("argentin",B38))),"Amérique",IF(OR(ISNUMBER(SEARCH("chinois",B38)),ISNUMBER(SEARCH("japonais",B38)),ISNUMBER(SEARCH("coréen",B38)),ISNUMBER(SEARCH("indien",B38)),ISNUMBER(SEARCH("persan",B38)),ISNUMBER(SEARCH("iranien",B38))),"Asie","(non classée)"))))</f>
        <v/>
      </c>
    </row>
    <row r="39">
      <c r="A39" s="2" t="inlineStr">
        <is>
          <t>ALLEGRETTO NUZI</t>
        </is>
      </c>
      <c r="B39" s="2" t="inlineStr">
        <is>
          <t>italienne</t>
        </is>
      </c>
      <c r="C39" s="2" t="inlineStr">
        <is>
          <t>peinture</t>
        </is>
      </c>
      <c r="D39" s="2" t="inlineStr">
        <is>
          <t>14e</t>
        </is>
      </c>
      <c r="U39">
        <f>IF(ISNUMBER(SEARCH("fran",B39)),"France",IF(OR(ISNUMBER(SEARCH("italien",B39)),ISNUMBER(SEARCH("espagn",B39)),ISNUMBER(SEARCH("catalan",B39)),ISNUMBER(SEARCH("flamand",B39)),ISNUMBER(SEARCH("belge",B39)),ISNUMBER(SEARCH("hollandais",B39)),ISNUMBER(SEARCH("néerlandais",B39)),ISNUMBER(SEARCH("allemand",B39)),ISNUMBER(SEARCH("autrichien",B39)),ISNUMBER(SEARCH("suisse",B39)),ISNUMBER(SEARCH("anglais",B39)),ISNUMBER(SEARCH("britannique",B39)),ISNUMBER(SEARCH("écossais",B39)),ISNUMBER(SEARCH("irlandais",B39)),ISNUMBER(SEARCH("russe",B39)),ISNUMBER(SEARCH("portugais",B39)),ISNUMBER(SEARCH("danois",B39)),ISNUMBER(SEARCH("norvégien",B39)),ISNUMBER(SEARCH("suédois",B39)),ISNUMBER(SEARCH("finlandais",B39)),ISNUMBER(SEARCH("polonais",B39)),ISNUMBER(SEARCH("tchèque",B39)),ISNUMBER(SEARCH("hongrois",B39)),ISNUMBER(SEARCH("grec",B39)),ISNUMBER(SEARCH("byzantin",B39)),ISNUMBER(SEARCH("croate",B39)),ISNUMBER(SEARCH("ukrainien",B39)),ISNUMBER(SEARCH("bulgare",B39)),ISNUMBER(SEARCH("biélorusse",B39)),ISNUMBER(SEARCH("maltais",B39))),"Autres pays d'Europe",IF(OR(ISNUMBER(SEARCH("américain",B39)),ISNUMBER(SEARCH("mexicain",B39)),ISNUMBER(SEARCH("canadien",B39)),ISNUMBER(SEARCH("brésilien",B39)),ISNUMBER(SEARCH("argentin",B39))),"Amérique",IF(OR(ISNUMBER(SEARCH("chinois",B39)),ISNUMBER(SEARCH("japonais",B39)),ISNUMBER(SEARCH("coréen",B39)),ISNUMBER(SEARCH("indien",B39)),ISNUMBER(SEARCH("persan",B39)),ISNUMBER(SEARCH("iranien",B39))),"Asie","(non classée)"))))</f>
        <v/>
      </c>
    </row>
    <row r="40">
      <c r="A40" s="2" t="inlineStr">
        <is>
          <t>ALONSO BERRUGUETE</t>
        </is>
      </c>
      <c r="B40" s="2" t="inlineStr">
        <is>
          <t>espagnole</t>
        </is>
      </c>
      <c r="C40" s="2" t="inlineStr">
        <is>
          <t>peinture, sculpture</t>
        </is>
      </c>
      <c r="D40" s="2" t="inlineStr">
        <is>
          <t>16e</t>
        </is>
      </c>
      <c r="U40">
        <f>IF(ISNUMBER(SEARCH("fran",B40)),"France",IF(OR(ISNUMBER(SEARCH("italien",B40)),ISNUMBER(SEARCH("espagn",B40)),ISNUMBER(SEARCH("catalan",B40)),ISNUMBER(SEARCH("flamand",B40)),ISNUMBER(SEARCH("belge",B40)),ISNUMBER(SEARCH("hollandais",B40)),ISNUMBER(SEARCH("néerlandais",B40)),ISNUMBER(SEARCH("allemand",B40)),ISNUMBER(SEARCH("autrichien",B40)),ISNUMBER(SEARCH("suisse",B40)),ISNUMBER(SEARCH("anglais",B40)),ISNUMBER(SEARCH("britannique",B40)),ISNUMBER(SEARCH("écossais",B40)),ISNUMBER(SEARCH("irlandais",B40)),ISNUMBER(SEARCH("russe",B40)),ISNUMBER(SEARCH("portugais",B40)),ISNUMBER(SEARCH("danois",B40)),ISNUMBER(SEARCH("norvégien",B40)),ISNUMBER(SEARCH("suédois",B40)),ISNUMBER(SEARCH("finlandais",B40)),ISNUMBER(SEARCH("polonais",B40)),ISNUMBER(SEARCH("tchèque",B40)),ISNUMBER(SEARCH("hongrois",B40)),ISNUMBER(SEARCH("grec",B40)),ISNUMBER(SEARCH("byzantin",B40)),ISNUMBER(SEARCH("croate",B40)),ISNUMBER(SEARCH("ukrainien",B40)),ISNUMBER(SEARCH("bulgare",B40)),ISNUMBER(SEARCH("biélorusse",B40)),ISNUMBER(SEARCH("maltais",B40))),"Autres pays d'Europe",IF(OR(ISNUMBER(SEARCH("américain",B40)),ISNUMBER(SEARCH("mexicain",B40)),ISNUMBER(SEARCH("canadien",B40)),ISNUMBER(SEARCH("brésilien",B40)),ISNUMBER(SEARCH("argentin",B40))),"Amérique",IF(OR(ISNUMBER(SEARCH("chinois",B40)),ISNUMBER(SEARCH("japonais",B40)),ISNUMBER(SEARCH("coréen",B40)),ISNUMBER(SEARCH("indien",B40)),ISNUMBER(SEARCH("persan",B40)),ISNUMBER(SEARCH("iranien",B40))),"Asie","(non classée)"))))</f>
        <v/>
      </c>
    </row>
    <row r="41">
      <c r="A41" s="2" t="inlineStr">
        <is>
          <t>ALONSO CANO</t>
        </is>
      </c>
      <c r="B41" s="2" t="inlineStr">
        <is>
          <t>espagnole</t>
        </is>
      </c>
      <c r="C41" s="2" t="inlineStr">
        <is>
          <t>sculpture</t>
        </is>
      </c>
      <c r="D41" s="2" t="inlineStr">
        <is>
          <t>17e</t>
        </is>
      </c>
      <c r="U41">
        <f>IF(ISNUMBER(SEARCH("fran",B41)),"France",IF(OR(ISNUMBER(SEARCH("italien",B41)),ISNUMBER(SEARCH("espagn",B41)),ISNUMBER(SEARCH("catalan",B41)),ISNUMBER(SEARCH("flamand",B41)),ISNUMBER(SEARCH("belge",B41)),ISNUMBER(SEARCH("hollandais",B41)),ISNUMBER(SEARCH("néerlandais",B41)),ISNUMBER(SEARCH("allemand",B41)),ISNUMBER(SEARCH("autrichien",B41)),ISNUMBER(SEARCH("suisse",B41)),ISNUMBER(SEARCH("anglais",B41)),ISNUMBER(SEARCH("britannique",B41)),ISNUMBER(SEARCH("écossais",B41)),ISNUMBER(SEARCH("irlandais",B41)),ISNUMBER(SEARCH("russe",B41)),ISNUMBER(SEARCH("portugais",B41)),ISNUMBER(SEARCH("danois",B41)),ISNUMBER(SEARCH("norvégien",B41)),ISNUMBER(SEARCH("suédois",B41)),ISNUMBER(SEARCH("finlandais",B41)),ISNUMBER(SEARCH("polonais",B41)),ISNUMBER(SEARCH("tchèque",B41)),ISNUMBER(SEARCH("hongrois",B41)),ISNUMBER(SEARCH("grec",B41)),ISNUMBER(SEARCH("byzantin",B41)),ISNUMBER(SEARCH("croate",B41)),ISNUMBER(SEARCH("ukrainien",B41)),ISNUMBER(SEARCH("bulgare",B41)),ISNUMBER(SEARCH("biélorusse",B41)),ISNUMBER(SEARCH("maltais",B41))),"Autres pays d'Europe",IF(OR(ISNUMBER(SEARCH("américain",B41)),ISNUMBER(SEARCH("mexicain",B41)),ISNUMBER(SEARCH("canadien",B41)),ISNUMBER(SEARCH("brésilien",B41)),ISNUMBER(SEARCH("argentin",B41))),"Amérique",IF(OR(ISNUMBER(SEARCH("chinois",B41)),ISNUMBER(SEARCH("japonais",B41)),ISNUMBER(SEARCH("coréen",B41)),ISNUMBER(SEARCH("indien",B41)),ISNUMBER(SEARCH("persan",B41)),ISNUMBER(SEARCH("iranien",B41))),"Asie","(non classée)"))))</f>
        <v/>
      </c>
    </row>
    <row r="42">
      <c r="A42" s="2" t="inlineStr">
        <is>
          <t>ALONSO CANO</t>
        </is>
      </c>
      <c r="B42" s="2" t="inlineStr">
        <is>
          <t>espagnole</t>
        </is>
      </c>
      <c r="C42" s="2" t="inlineStr">
        <is>
          <t>peinture</t>
        </is>
      </c>
      <c r="D42" s="2" t="inlineStr">
        <is>
          <t>17e</t>
        </is>
      </c>
      <c r="U42">
        <f>IF(ISNUMBER(SEARCH("fran",B42)),"France",IF(OR(ISNUMBER(SEARCH("italien",B42)),ISNUMBER(SEARCH("espagn",B42)),ISNUMBER(SEARCH("catalan",B42)),ISNUMBER(SEARCH("flamand",B42)),ISNUMBER(SEARCH("belge",B42)),ISNUMBER(SEARCH("hollandais",B42)),ISNUMBER(SEARCH("néerlandais",B42)),ISNUMBER(SEARCH("allemand",B42)),ISNUMBER(SEARCH("autrichien",B42)),ISNUMBER(SEARCH("suisse",B42)),ISNUMBER(SEARCH("anglais",B42)),ISNUMBER(SEARCH("britannique",B42)),ISNUMBER(SEARCH("écossais",B42)),ISNUMBER(SEARCH("irlandais",B42)),ISNUMBER(SEARCH("russe",B42)),ISNUMBER(SEARCH("portugais",B42)),ISNUMBER(SEARCH("danois",B42)),ISNUMBER(SEARCH("norvégien",B42)),ISNUMBER(SEARCH("suédois",B42)),ISNUMBER(SEARCH("finlandais",B42)),ISNUMBER(SEARCH("polonais",B42)),ISNUMBER(SEARCH("tchèque",B42)),ISNUMBER(SEARCH("hongrois",B42)),ISNUMBER(SEARCH("grec",B42)),ISNUMBER(SEARCH("byzantin",B42)),ISNUMBER(SEARCH("croate",B42)),ISNUMBER(SEARCH("ukrainien",B42)),ISNUMBER(SEARCH("bulgare",B42)),ISNUMBER(SEARCH("biélorusse",B42)),ISNUMBER(SEARCH("maltais",B42))),"Autres pays d'Europe",IF(OR(ISNUMBER(SEARCH("américain",B42)),ISNUMBER(SEARCH("mexicain",B42)),ISNUMBER(SEARCH("canadien",B42)),ISNUMBER(SEARCH("brésilien",B42)),ISNUMBER(SEARCH("argentin",B42))),"Amérique",IF(OR(ISNUMBER(SEARCH("chinois",B42)),ISNUMBER(SEARCH("japonais",B42)),ISNUMBER(SEARCH("coréen",B42)),ISNUMBER(SEARCH("indien",B42)),ISNUMBER(SEARCH("persan",B42)),ISNUMBER(SEARCH("iranien",B42))),"Asie","(non classée)"))))</f>
        <v/>
      </c>
    </row>
    <row r="43">
      <c r="A43" s="2" t="inlineStr">
        <is>
          <t>ALONSO SÁNCHEZ COELLO</t>
        </is>
      </c>
      <c r="B43" s="2" t="inlineStr">
        <is>
          <t>espagnole</t>
        </is>
      </c>
      <c r="C43" s="2" t="inlineStr">
        <is>
          <t>peinture</t>
        </is>
      </c>
      <c r="D43" s="2" t="inlineStr">
        <is>
          <t>16e</t>
        </is>
      </c>
      <c r="U43">
        <f>IF(ISNUMBER(SEARCH("fran",B43)),"France",IF(OR(ISNUMBER(SEARCH("italien",B43)),ISNUMBER(SEARCH("espagn",B43)),ISNUMBER(SEARCH("catalan",B43)),ISNUMBER(SEARCH("flamand",B43)),ISNUMBER(SEARCH("belge",B43)),ISNUMBER(SEARCH("hollandais",B43)),ISNUMBER(SEARCH("néerlandais",B43)),ISNUMBER(SEARCH("allemand",B43)),ISNUMBER(SEARCH("autrichien",B43)),ISNUMBER(SEARCH("suisse",B43)),ISNUMBER(SEARCH("anglais",B43)),ISNUMBER(SEARCH("britannique",B43)),ISNUMBER(SEARCH("écossais",B43)),ISNUMBER(SEARCH("irlandais",B43)),ISNUMBER(SEARCH("russe",B43)),ISNUMBER(SEARCH("portugais",B43)),ISNUMBER(SEARCH("danois",B43)),ISNUMBER(SEARCH("norvégien",B43)),ISNUMBER(SEARCH("suédois",B43)),ISNUMBER(SEARCH("finlandais",B43)),ISNUMBER(SEARCH("polonais",B43)),ISNUMBER(SEARCH("tchèque",B43)),ISNUMBER(SEARCH("hongrois",B43)),ISNUMBER(SEARCH("grec",B43)),ISNUMBER(SEARCH("byzantin",B43)),ISNUMBER(SEARCH("croate",B43)),ISNUMBER(SEARCH("ukrainien",B43)),ISNUMBER(SEARCH("bulgare",B43)),ISNUMBER(SEARCH("biélorusse",B43)),ISNUMBER(SEARCH("maltais",B43))),"Autres pays d'Europe",IF(OR(ISNUMBER(SEARCH("américain",B43)),ISNUMBER(SEARCH("mexicain",B43)),ISNUMBER(SEARCH("canadien",B43)),ISNUMBER(SEARCH("brésilien",B43)),ISNUMBER(SEARCH("argentin",B43))),"Amérique",IF(OR(ISNUMBER(SEARCH("chinois",B43)),ISNUMBER(SEARCH("japonais",B43)),ISNUMBER(SEARCH("coréen",B43)),ISNUMBER(SEARCH("indien",B43)),ISNUMBER(SEARCH("persan",B43)),ISNUMBER(SEARCH("iranien",B43))),"Asie","(non classée)"))))</f>
        <v/>
      </c>
    </row>
    <row r="44">
      <c r="A44" s="2" t="inlineStr">
        <is>
          <t>ALTICHIERO DA ZEVIO</t>
        </is>
      </c>
      <c r="B44" s="2" t="inlineStr">
        <is>
          <t>italienne</t>
        </is>
      </c>
      <c r="C44" s="2" t="inlineStr">
        <is>
          <t>peinture</t>
        </is>
      </c>
      <c r="D44" s="2" t="inlineStr">
        <is>
          <t>14e</t>
        </is>
      </c>
      <c r="U44">
        <f>IF(ISNUMBER(SEARCH("fran",B44)),"France",IF(OR(ISNUMBER(SEARCH("italien",B44)),ISNUMBER(SEARCH("espagn",B44)),ISNUMBER(SEARCH("catalan",B44)),ISNUMBER(SEARCH("flamand",B44)),ISNUMBER(SEARCH("belge",B44)),ISNUMBER(SEARCH("hollandais",B44)),ISNUMBER(SEARCH("néerlandais",B44)),ISNUMBER(SEARCH("allemand",B44)),ISNUMBER(SEARCH("autrichien",B44)),ISNUMBER(SEARCH("suisse",B44)),ISNUMBER(SEARCH("anglais",B44)),ISNUMBER(SEARCH("britannique",B44)),ISNUMBER(SEARCH("écossais",B44)),ISNUMBER(SEARCH("irlandais",B44)),ISNUMBER(SEARCH("russe",B44)),ISNUMBER(SEARCH("portugais",B44)),ISNUMBER(SEARCH("danois",B44)),ISNUMBER(SEARCH("norvégien",B44)),ISNUMBER(SEARCH("suédois",B44)),ISNUMBER(SEARCH("finlandais",B44)),ISNUMBER(SEARCH("polonais",B44)),ISNUMBER(SEARCH("tchèque",B44)),ISNUMBER(SEARCH("hongrois",B44)),ISNUMBER(SEARCH("grec",B44)),ISNUMBER(SEARCH("byzantin",B44)),ISNUMBER(SEARCH("croate",B44)),ISNUMBER(SEARCH("ukrainien",B44)),ISNUMBER(SEARCH("bulgare",B44)),ISNUMBER(SEARCH("biélorusse",B44)),ISNUMBER(SEARCH("maltais",B44))),"Autres pays d'Europe",IF(OR(ISNUMBER(SEARCH("américain",B44)),ISNUMBER(SEARCH("mexicain",B44)),ISNUMBER(SEARCH("canadien",B44)),ISNUMBER(SEARCH("brésilien",B44)),ISNUMBER(SEARCH("argentin",B44))),"Amérique",IF(OR(ISNUMBER(SEARCH("chinois",B44)),ISNUMBER(SEARCH("japonais",B44)),ISNUMBER(SEARCH("coréen",B44)),ISNUMBER(SEARCH("indien",B44)),ISNUMBER(SEARCH("persan",B44)),ISNUMBER(SEARCH("iranien",B44))),"Asie","(non classée)"))))</f>
        <v/>
      </c>
    </row>
    <row r="45">
      <c r="A45" s="2" t="inlineStr">
        <is>
          <t>ALVISE VIVARINI</t>
        </is>
      </c>
      <c r="B45" s="2" t="inlineStr">
        <is>
          <t>italienne</t>
        </is>
      </c>
      <c r="C45" s="2" t="inlineStr">
        <is>
          <t>peinture</t>
        </is>
      </c>
      <c r="D45" s="2" t="inlineStr">
        <is>
          <t>15e</t>
        </is>
      </c>
      <c r="U45">
        <f>IF(ISNUMBER(SEARCH("fran",B45)),"France",IF(OR(ISNUMBER(SEARCH("italien",B45)),ISNUMBER(SEARCH("espagn",B45)),ISNUMBER(SEARCH("catalan",B45)),ISNUMBER(SEARCH("flamand",B45)),ISNUMBER(SEARCH("belge",B45)),ISNUMBER(SEARCH("hollandais",B45)),ISNUMBER(SEARCH("néerlandais",B45)),ISNUMBER(SEARCH("allemand",B45)),ISNUMBER(SEARCH("autrichien",B45)),ISNUMBER(SEARCH("suisse",B45)),ISNUMBER(SEARCH("anglais",B45)),ISNUMBER(SEARCH("britannique",B45)),ISNUMBER(SEARCH("écossais",B45)),ISNUMBER(SEARCH("irlandais",B45)),ISNUMBER(SEARCH("russe",B45)),ISNUMBER(SEARCH("portugais",B45)),ISNUMBER(SEARCH("danois",B45)),ISNUMBER(SEARCH("norvégien",B45)),ISNUMBER(SEARCH("suédois",B45)),ISNUMBER(SEARCH("finlandais",B45)),ISNUMBER(SEARCH("polonais",B45)),ISNUMBER(SEARCH("tchèque",B45)),ISNUMBER(SEARCH("hongrois",B45)),ISNUMBER(SEARCH("grec",B45)),ISNUMBER(SEARCH("byzantin",B45)),ISNUMBER(SEARCH("croate",B45)),ISNUMBER(SEARCH("ukrainien",B45)),ISNUMBER(SEARCH("bulgare",B45)),ISNUMBER(SEARCH("biélorusse",B45)),ISNUMBER(SEARCH("maltais",B45))),"Autres pays d'Europe",IF(OR(ISNUMBER(SEARCH("américain",B45)),ISNUMBER(SEARCH("mexicain",B45)),ISNUMBER(SEARCH("canadien",B45)),ISNUMBER(SEARCH("brésilien",B45)),ISNUMBER(SEARCH("argentin",B45))),"Amérique",IF(OR(ISNUMBER(SEARCH("chinois",B45)),ISNUMBER(SEARCH("japonais",B45)),ISNUMBER(SEARCH("coréen",B45)),ISNUMBER(SEARCH("indien",B45)),ISNUMBER(SEARCH("persan",B45)),ISNUMBER(SEARCH("iranien",B45))),"Asie","(non classée)"))))</f>
        <v/>
      </c>
    </row>
    <row r="46">
      <c r="A46" s="2" t="inlineStr">
        <is>
          <t>AMBROGIO LORENZETTI</t>
        </is>
      </c>
      <c r="B46" s="2" t="inlineStr">
        <is>
          <t>italienne</t>
        </is>
      </c>
      <c r="C46" s="2" t="inlineStr">
        <is>
          <t>peinture</t>
        </is>
      </c>
      <c r="D46" s="2" t="inlineStr">
        <is>
          <t>14e</t>
        </is>
      </c>
      <c r="U46">
        <f>IF(ISNUMBER(SEARCH("fran",B46)),"France",IF(OR(ISNUMBER(SEARCH("italien",B46)),ISNUMBER(SEARCH("espagn",B46)),ISNUMBER(SEARCH("catalan",B46)),ISNUMBER(SEARCH("flamand",B46)),ISNUMBER(SEARCH("belge",B46)),ISNUMBER(SEARCH("hollandais",B46)),ISNUMBER(SEARCH("néerlandais",B46)),ISNUMBER(SEARCH("allemand",B46)),ISNUMBER(SEARCH("autrichien",B46)),ISNUMBER(SEARCH("suisse",B46)),ISNUMBER(SEARCH("anglais",B46)),ISNUMBER(SEARCH("britannique",B46)),ISNUMBER(SEARCH("écossais",B46)),ISNUMBER(SEARCH("irlandais",B46)),ISNUMBER(SEARCH("russe",B46)),ISNUMBER(SEARCH("portugais",B46)),ISNUMBER(SEARCH("danois",B46)),ISNUMBER(SEARCH("norvégien",B46)),ISNUMBER(SEARCH("suédois",B46)),ISNUMBER(SEARCH("finlandais",B46)),ISNUMBER(SEARCH("polonais",B46)),ISNUMBER(SEARCH("tchèque",B46)),ISNUMBER(SEARCH("hongrois",B46)),ISNUMBER(SEARCH("grec",B46)),ISNUMBER(SEARCH("byzantin",B46)),ISNUMBER(SEARCH("croate",B46)),ISNUMBER(SEARCH("ukrainien",B46)),ISNUMBER(SEARCH("bulgare",B46)),ISNUMBER(SEARCH("biélorusse",B46)),ISNUMBER(SEARCH("maltais",B46))),"Autres pays d'Europe",IF(OR(ISNUMBER(SEARCH("américain",B46)),ISNUMBER(SEARCH("mexicain",B46)),ISNUMBER(SEARCH("canadien",B46)),ISNUMBER(SEARCH("brésilien",B46)),ISNUMBER(SEARCH("argentin",B46))),"Amérique",IF(OR(ISNUMBER(SEARCH("chinois",B46)),ISNUMBER(SEARCH("japonais",B46)),ISNUMBER(SEARCH("coréen",B46)),ISNUMBER(SEARCH("indien",B46)),ISNUMBER(SEARCH("persan",B46)),ISNUMBER(SEARCH("iranien",B46))),"Asie","(non classée)"))))</f>
        <v/>
      </c>
    </row>
    <row r="47">
      <c r="A47" s="2" t="inlineStr">
        <is>
          <t>AMEDEO MODIGLIANI</t>
        </is>
      </c>
      <c r="B47" s="2" t="inlineStr">
        <is>
          <t>italienne</t>
        </is>
      </c>
      <c r="C47" s="2" t="inlineStr">
        <is>
          <t>peinture</t>
        </is>
      </c>
      <c r="D47" s="2" t="inlineStr">
        <is>
          <t>20e</t>
        </is>
      </c>
      <c r="U47">
        <f>IF(ISNUMBER(SEARCH("fran",B47)),"France",IF(OR(ISNUMBER(SEARCH("italien",B47)),ISNUMBER(SEARCH("espagn",B47)),ISNUMBER(SEARCH("catalan",B47)),ISNUMBER(SEARCH("flamand",B47)),ISNUMBER(SEARCH("belge",B47)),ISNUMBER(SEARCH("hollandais",B47)),ISNUMBER(SEARCH("néerlandais",B47)),ISNUMBER(SEARCH("allemand",B47)),ISNUMBER(SEARCH("autrichien",B47)),ISNUMBER(SEARCH("suisse",B47)),ISNUMBER(SEARCH("anglais",B47)),ISNUMBER(SEARCH("britannique",B47)),ISNUMBER(SEARCH("écossais",B47)),ISNUMBER(SEARCH("irlandais",B47)),ISNUMBER(SEARCH("russe",B47)),ISNUMBER(SEARCH("portugais",B47)),ISNUMBER(SEARCH("danois",B47)),ISNUMBER(SEARCH("norvégien",B47)),ISNUMBER(SEARCH("suédois",B47)),ISNUMBER(SEARCH("finlandais",B47)),ISNUMBER(SEARCH("polonais",B47)),ISNUMBER(SEARCH("tchèque",B47)),ISNUMBER(SEARCH("hongrois",B47)),ISNUMBER(SEARCH("grec",B47)),ISNUMBER(SEARCH("byzantin",B47)),ISNUMBER(SEARCH("croate",B47)),ISNUMBER(SEARCH("ukrainien",B47)),ISNUMBER(SEARCH("bulgare",B47)),ISNUMBER(SEARCH("biélorusse",B47)),ISNUMBER(SEARCH("maltais",B47))),"Autres pays d'Europe",IF(OR(ISNUMBER(SEARCH("américain",B47)),ISNUMBER(SEARCH("mexicain",B47)),ISNUMBER(SEARCH("canadien",B47)),ISNUMBER(SEARCH("brésilien",B47)),ISNUMBER(SEARCH("argentin",B47))),"Amérique",IF(OR(ISNUMBER(SEARCH("chinois",B47)),ISNUMBER(SEARCH("japonais",B47)),ISNUMBER(SEARCH("coréen",B47)),ISNUMBER(SEARCH("indien",B47)),ISNUMBER(SEARCH("persan",B47)),ISNUMBER(SEARCH("iranien",B47))),"Asie","(non classée)"))))</f>
        <v/>
      </c>
    </row>
    <row r="48">
      <c r="A48" s="2" t="inlineStr">
        <is>
          <t>ANDREA BREGNO</t>
        </is>
      </c>
      <c r="B48" s="2" t="inlineStr">
        <is>
          <t>italienne</t>
        </is>
      </c>
      <c r="C48" s="2" t="inlineStr">
        <is>
          <t>sculpture</t>
        </is>
      </c>
      <c r="D48" s="2" t="inlineStr">
        <is>
          <t>15e</t>
        </is>
      </c>
      <c r="U48">
        <f>IF(ISNUMBER(SEARCH("fran",B48)),"France",IF(OR(ISNUMBER(SEARCH("italien",B48)),ISNUMBER(SEARCH("espagn",B48)),ISNUMBER(SEARCH("catalan",B48)),ISNUMBER(SEARCH("flamand",B48)),ISNUMBER(SEARCH("belge",B48)),ISNUMBER(SEARCH("hollandais",B48)),ISNUMBER(SEARCH("néerlandais",B48)),ISNUMBER(SEARCH("allemand",B48)),ISNUMBER(SEARCH("autrichien",B48)),ISNUMBER(SEARCH("suisse",B48)),ISNUMBER(SEARCH("anglais",B48)),ISNUMBER(SEARCH("britannique",B48)),ISNUMBER(SEARCH("écossais",B48)),ISNUMBER(SEARCH("irlandais",B48)),ISNUMBER(SEARCH("russe",B48)),ISNUMBER(SEARCH("portugais",B48)),ISNUMBER(SEARCH("danois",B48)),ISNUMBER(SEARCH("norvégien",B48)),ISNUMBER(SEARCH("suédois",B48)),ISNUMBER(SEARCH("finlandais",B48)),ISNUMBER(SEARCH("polonais",B48)),ISNUMBER(SEARCH("tchèque",B48)),ISNUMBER(SEARCH("hongrois",B48)),ISNUMBER(SEARCH("grec",B48)),ISNUMBER(SEARCH("byzantin",B48)),ISNUMBER(SEARCH("croate",B48)),ISNUMBER(SEARCH("ukrainien",B48)),ISNUMBER(SEARCH("bulgare",B48)),ISNUMBER(SEARCH("biélorusse",B48)),ISNUMBER(SEARCH("maltais",B48))),"Autres pays d'Europe",IF(OR(ISNUMBER(SEARCH("américain",B48)),ISNUMBER(SEARCH("mexicain",B48)),ISNUMBER(SEARCH("canadien",B48)),ISNUMBER(SEARCH("brésilien",B48)),ISNUMBER(SEARCH("argentin",B48))),"Amérique",IF(OR(ISNUMBER(SEARCH("chinois",B48)),ISNUMBER(SEARCH("japonais",B48)),ISNUMBER(SEARCH("coréen",B48)),ISNUMBER(SEARCH("indien",B48)),ISNUMBER(SEARCH("persan",B48)),ISNUMBER(SEARCH("iranien",B48))),"Asie","(non classée)"))))</f>
        <v/>
      </c>
    </row>
    <row r="49">
      <c r="A49" s="2" t="inlineStr">
        <is>
          <t>ANDREA MANTEGNA</t>
        </is>
      </c>
      <c r="B49" s="2" t="inlineStr">
        <is>
          <t>italienne</t>
        </is>
      </c>
      <c r="C49" s="2" t="inlineStr">
        <is>
          <t>peinture</t>
        </is>
      </c>
      <c r="D49" s="2" t="inlineStr">
        <is>
          <t>15e</t>
        </is>
      </c>
      <c r="U49">
        <f>IF(ISNUMBER(SEARCH("fran",B49)),"France",IF(OR(ISNUMBER(SEARCH("italien",B49)),ISNUMBER(SEARCH("espagn",B49)),ISNUMBER(SEARCH("catalan",B49)),ISNUMBER(SEARCH("flamand",B49)),ISNUMBER(SEARCH("belge",B49)),ISNUMBER(SEARCH("hollandais",B49)),ISNUMBER(SEARCH("néerlandais",B49)),ISNUMBER(SEARCH("allemand",B49)),ISNUMBER(SEARCH("autrichien",B49)),ISNUMBER(SEARCH("suisse",B49)),ISNUMBER(SEARCH("anglais",B49)),ISNUMBER(SEARCH("britannique",B49)),ISNUMBER(SEARCH("écossais",B49)),ISNUMBER(SEARCH("irlandais",B49)),ISNUMBER(SEARCH("russe",B49)),ISNUMBER(SEARCH("portugais",B49)),ISNUMBER(SEARCH("danois",B49)),ISNUMBER(SEARCH("norvégien",B49)),ISNUMBER(SEARCH("suédois",B49)),ISNUMBER(SEARCH("finlandais",B49)),ISNUMBER(SEARCH("polonais",B49)),ISNUMBER(SEARCH("tchèque",B49)),ISNUMBER(SEARCH("hongrois",B49)),ISNUMBER(SEARCH("grec",B49)),ISNUMBER(SEARCH("byzantin",B49)),ISNUMBER(SEARCH("croate",B49)),ISNUMBER(SEARCH("ukrainien",B49)),ISNUMBER(SEARCH("bulgare",B49)),ISNUMBER(SEARCH("biélorusse",B49)),ISNUMBER(SEARCH("maltais",B49))),"Autres pays d'Europe",IF(OR(ISNUMBER(SEARCH("américain",B49)),ISNUMBER(SEARCH("mexicain",B49)),ISNUMBER(SEARCH("canadien",B49)),ISNUMBER(SEARCH("brésilien",B49)),ISNUMBER(SEARCH("argentin",B49))),"Amérique",IF(OR(ISNUMBER(SEARCH("chinois",B49)),ISNUMBER(SEARCH("japonais",B49)),ISNUMBER(SEARCH("coréen",B49)),ISNUMBER(SEARCH("indien",B49)),ISNUMBER(SEARCH("persan",B49)),ISNUMBER(SEARCH("iranien",B49))),"Asie","(non classée)"))))</f>
        <v/>
      </c>
    </row>
    <row r="50">
      <c r="A50" s="2" t="inlineStr">
        <is>
          <t>ANDREA ORCAGNA</t>
        </is>
      </c>
      <c r="B50" s="2" t="inlineStr">
        <is>
          <t>italienne</t>
        </is>
      </c>
      <c r="C50" s="2" t="inlineStr">
        <is>
          <t>peinture, sculpture</t>
        </is>
      </c>
      <c r="D50" s="2" t="inlineStr">
        <is>
          <t>14e</t>
        </is>
      </c>
      <c r="U50">
        <f>IF(ISNUMBER(SEARCH("fran",B50)),"France",IF(OR(ISNUMBER(SEARCH("italien",B50)),ISNUMBER(SEARCH("espagn",B50)),ISNUMBER(SEARCH("catalan",B50)),ISNUMBER(SEARCH("flamand",B50)),ISNUMBER(SEARCH("belge",B50)),ISNUMBER(SEARCH("hollandais",B50)),ISNUMBER(SEARCH("néerlandais",B50)),ISNUMBER(SEARCH("allemand",B50)),ISNUMBER(SEARCH("autrichien",B50)),ISNUMBER(SEARCH("suisse",B50)),ISNUMBER(SEARCH("anglais",B50)),ISNUMBER(SEARCH("britannique",B50)),ISNUMBER(SEARCH("écossais",B50)),ISNUMBER(SEARCH("irlandais",B50)),ISNUMBER(SEARCH("russe",B50)),ISNUMBER(SEARCH("portugais",B50)),ISNUMBER(SEARCH("danois",B50)),ISNUMBER(SEARCH("norvégien",B50)),ISNUMBER(SEARCH("suédois",B50)),ISNUMBER(SEARCH("finlandais",B50)),ISNUMBER(SEARCH("polonais",B50)),ISNUMBER(SEARCH("tchèque",B50)),ISNUMBER(SEARCH("hongrois",B50)),ISNUMBER(SEARCH("grec",B50)),ISNUMBER(SEARCH("byzantin",B50)),ISNUMBER(SEARCH("croate",B50)),ISNUMBER(SEARCH("ukrainien",B50)),ISNUMBER(SEARCH("bulgare",B50)),ISNUMBER(SEARCH("biélorusse",B50)),ISNUMBER(SEARCH("maltais",B50))),"Autres pays d'Europe",IF(OR(ISNUMBER(SEARCH("américain",B50)),ISNUMBER(SEARCH("mexicain",B50)),ISNUMBER(SEARCH("canadien",B50)),ISNUMBER(SEARCH("brésilien",B50)),ISNUMBER(SEARCH("argentin",B50))),"Amérique",IF(OR(ISNUMBER(SEARCH("chinois",B50)),ISNUMBER(SEARCH("japonais",B50)),ISNUMBER(SEARCH("coréen",B50)),ISNUMBER(SEARCH("indien",B50)),ISNUMBER(SEARCH("persan",B50)),ISNUMBER(SEARCH("iranien",B50))),"Asie","(non classée)"))))</f>
        <v/>
      </c>
    </row>
    <row r="51">
      <c r="A51" s="2" t="inlineStr">
        <is>
          <t>ANDREA PISANO</t>
        </is>
      </c>
      <c r="B51" s="2" t="inlineStr">
        <is>
          <t>italienne</t>
        </is>
      </c>
      <c r="C51" s="2" t="inlineStr">
        <is>
          <t>sculpture</t>
        </is>
      </c>
      <c r="D51" s="2" t="inlineStr">
        <is>
          <t>14e</t>
        </is>
      </c>
      <c r="U51">
        <f>IF(ISNUMBER(SEARCH("fran",B51)),"France",IF(OR(ISNUMBER(SEARCH("italien",B51)),ISNUMBER(SEARCH("espagn",B51)),ISNUMBER(SEARCH("catalan",B51)),ISNUMBER(SEARCH("flamand",B51)),ISNUMBER(SEARCH("belge",B51)),ISNUMBER(SEARCH("hollandais",B51)),ISNUMBER(SEARCH("néerlandais",B51)),ISNUMBER(SEARCH("allemand",B51)),ISNUMBER(SEARCH("autrichien",B51)),ISNUMBER(SEARCH("suisse",B51)),ISNUMBER(SEARCH("anglais",B51)),ISNUMBER(SEARCH("britannique",B51)),ISNUMBER(SEARCH("écossais",B51)),ISNUMBER(SEARCH("irlandais",B51)),ISNUMBER(SEARCH("russe",B51)),ISNUMBER(SEARCH("portugais",B51)),ISNUMBER(SEARCH("danois",B51)),ISNUMBER(SEARCH("norvégien",B51)),ISNUMBER(SEARCH("suédois",B51)),ISNUMBER(SEARCH("finlandais",B51)),ISNUMBER(SEARCH("polonais",B51)),ISNUMBER(SEARCH("tchèque",B51)),ISNUMBER(SEARCH("hongrois",B51)),ISNUMBER(SEARCH("grec",B51)),ISNUMBER(SEARCH("byzantin",B51)),ISNUMBER(SEARCH("croate",B51)),ISNUMBER(SEARCH("ukrainien",B51)),ISNUMBER(SEARCH("bulgare",B51)),ISNUMBER(SEARCH("biélorusse",B51)),ISNUMBER(SEARCH("maltais",B51))),"Autres pays d'Europe",IF(OR(ISNUMBER(SEARCH("américain",B51)),ISNUMBER(SEARCH("mexicain",B51)),ISNUMBER(SEARCH("canadien",B51)),ISNUMBER(SEARCH("brésilien",B51)),ISNUMBER(SEARCH("argentin",B51))),"Amérique",IF(OR(ISNUMBER(SEARCH("chinois",B51)),ISNUMBER(SEARCH("japonais",B51)),ISNUMBER(SEARCH("coréen",B51)),ISNUMBER(SEARCH("indien",B51)),ISNUMBER(SEARCH("persan",B51)),ISNUMBER(SEARCH("iranien",B51))),"Asie","(non classée)"))))</f>
        <v/>
      </c>
    </row>
    <row r="52">
      <c r="A52" s="2" t="inlineStr">
        <is>
          <t>ANDREA SANSOVINO</t>
        </is>
      </c>
      <c r="B52" s="2" t="inlineStr">
        <is>
          <t>italienne</t>
        </is>
      </c>
      <c r="C52" s="2" t="inlineStr">
        <is>
          <t>sculpture</t>
        </is>
      </c>
      <c r="D52" s="2" t="inlineStr">
        <is>
          <t>16e</t>
        </is>
      </c>
      <c r="U52">
        <f>IF(ISNUMBER(SEARCH("fran",B52)),"France",IF(OR(ISNUMBER(SEARCH("italien",B52)),ISNUMBER(SEARCH("espagn",B52)),ISNUMBER(SEARCH("catalan",B52)),ISNUMBER(SEARCH("flamand",B52)),ISNUMBER(SEARCH("belge",B52)),ISNUMBER(SEARCH("hollandais",B52)),ISNUMBER(SEARCH("néerlandais",B52)),ISNUMBER(SEARCH("allemand",B52)),ISNUMBER(SEARCH("autrichien",B52)),ISNUMBER(SEARCH("suisse",B52)),ISNUMBER(SEARCH("anglais",B52)),ISNUMBER(SEARCH("britannique",B52)),ISNUMBER(SEARCH("écossais",B52)),ISNUMBER(SEARCH("irlandais",B52)),ISNUMBER(SEARCH("russe",B52)),ISNUMBER(SEARCH("portugais",B52)),ISNUMBER(SEARCH("danois",B52)),ISNUMBER(SEARCH("norvégien",B52)),ISNUMBER(SEARCH("suédois",B52)),ISNUMBER(SEARCH("finlandais",B52)),ISNUMBER(SEARCH("polonais",B52)),ISNUMBER(SEARCH("tchèque",B52)),ISNUMBER(SEARCH("hongrois",B52)),ISNUMBER(SEARCH("grec",B52)),ISNUMBER(SEARCH("byzantin",B52)),ISNUMBER(SEARCH("croate",B52)),ISNUMBER(SEARCH("ukrainien",B52)),ISNUMBER(SEARCH("bulgare",B52)),ISNUMBER(SEARCH("biélorusse",B52)),ISNUMBER(SEARCH("maltais",B52))),"Autres pays d'Europe",IF(OR(ISNUMBER(SEARCH("américain",B52)),ISNUMBER(SEARCH("mexicain",B52)),ISNUMBER(SEARCH("canadien",B52)),ISNUMBER(SEARCH("brésilien",B52)),ISNUMBER(SEARCH("argentin",B52))),"Amérique",IF(OR(ISNUMBER(SEARCH("chinois",B52)),ISNUMBER(SEARCH("japonais",B52)),ISNUMBER(SEARCH("coréen",B52)),ISNUMBER(SEARCH("indien",B52)),ISNUMBER(SEARCH("persan",B52)),ISNUMBER(SEARCH("iranien",B52))),"Asie","(non classée)"))))</f>
        <v/>
      </c>
    </row>
    <row r="53">
      <c r="A53" s="2" t="inlineStr">
        <is>
          <t>ANDREA DA FIRENZE</t>
        </is>
      </c>
      <c r="B53" s="2" t="inlineStr">
        <is>
          <t>italienne</t>
        </is>
      </c>
      <c r="C53" s="2" t="inlineStr">
        <is>
          <t>peinture</t>
        </is>
      </c>
      <c r="D53" s="2" t="inlineStr">
        <is>
          <t>14e</t>
        </is>
      </c>
      <c r="U53">
        <f>IF(ISNUMBER(SEARCH("fran",B53)),"France",IF(OR(ISNUMBER(SEARCH("italien",B53)),ISNUMBER(SEARCH("espagn",B53)),ISNUMBER(SEARCH("catalan",B53)),ISNUMBER(SEARCH("flamand",B53)),ISNUMBER(SEARCH("belge",B53)),ISNUMBER(SEARCH("hollandais",B53)),ISNUMBER(SEARCH("néerlandais",B53)),ISNUMBER(SEARCH("allemand",B53)),ISNUMBER(SEARCH("autrichien",B53)),ISNUMBER(SEARCH("suisse",B53)),ISNUMBER(SEARCH("anglais",B53)),ISNUMBER(SEARCH("britannique",B53)),ISNUMBER(SEARCH("écossais",B53)),ISNUMBER(SEARCH("irlandais",B53)),ISNUMBER(SEARCH("russe",B53)),ISNUMBER(SEARCH("portugais",B53)),ISNUMBER(SEARCH("danois",B53)),ISNUMBER(SEARCH("norvégien",B53)),ISNUMBER(SEARCH("suédois",B53)),ISNUMBER(SEARCH("finlandais",B53)),ISNUMBER(SEARCH("polonais",B53)),ISNUMBER(SEARCH("tchèque",B53)),ISNUMBER(SEARCH("hongrois",B53)),ISNUMBER(SEARCH("grec",B53)),ISNUMBER(SEARCH("byzantin",B53)),ISNUMBER(SEARCH("croate",B53)),ISNUMBER(SEARCH("ukrainien",B53)),ISNUMBER(SEARCH("bulgare",B53)),ISNUMBER(SEARCH("biélorusse",B53)),ISNUMBER(SEARCH("maltais",B53))),"Autres pays d'Europe",IF(OR(ISNUMBER(SEARCH("américain",B53)),ISNUMBER(SEARCH("mexicain",B53)),ISNUMBER(SEARCH("canadien",B53)),ISNUMBER(SEARCH("brésilien",B53)),ISNUMBER(SEARCH("argentin",B53))),"Amérique",IF(OR(ISNUMBER(SEARCH("chinois",B53)),ISNUMBER(SEARCH("japonais",B53)),ISNUMBER(SEARCH("coréen",B53)),ISNUMBER(SEARCH("indien",B53)),ISNUMBER(SEARCH("persan",B53)),ISNUMBER(SEARCH("iranien",B53))),"Asie","(non classée)"))))</f>
        <v/>
      </c>
    </row>
    <row r="54">
      <c r="A54" s="2" t="inlineStr">
        <is>
          <t>ANDREA DEL CASTAGNO</t>
        </is>
      </c>
      <c r="B54" s="2" t="inlineStr">
        <is>
          <t>italienne</t>
        </is>
      </c>
      <c r="C54" s="2" t="inlineStr">
        <is>
          <t>peinture</t>
        </is>
      </c>
      <c r="D54" s="2" t="inlineStr">
        <is>
          <t>15e</t>
        </is>
      </c>
      <c r="U54">
        <f>IF(ISNUMBER(SEARCH("fran",B54)),"France",IF(OR(ISNUMBER(SEARCH("italien",B54)),ISNUMBER(SEARCH("espagn",B54)),ISNUMBER(SEARCH("catalan",B54)),ISNUMBER(SEARCH("flamand",B54)),ISNUMBER(SEARCH("belge",B54)),ISNUMBER(SEARCH("hollandais",B54)),ISNUMBER(SEARCH("néerlandais",B54)),ISNUMBER(SEARCH("allemand",B54)),ISNUMBER(SEARCH("autrichien",B54)),ISNUMBER(SEARCH("suisse",B54)),ISNUMBER(SEARCH("anglais",B54)),ISNUMBER(SEARCH("britannique",B54)),ISNUMBER(SEARCH("écossais",B54)),ISNUMBER(SEARCH("irlandais",B54)),ISNUMBER(SEARCH("russe",B54)),ISNUMBER(SEARCH("portugais",B54)),ISNUMBER(SEARCH("danois",B54)),ISNUMBER(SEARCH("norvégien",B54)),ISNUMBER(SEARCH("suédois",B54)),ISNUMBER(SEARCH("finlandais",B54)),ISNUMBER(SEARCH("polonais",B54)),ISNUMBER(SEARCH("tchèque",B54)),ISNUMBER(SEARCH("hongrois",B54)),ISNUMBER(SEARCH("grec",B54)),ISNUMBER(SEARCH("byzantin",B54)),ISNUMBER(SEARCH("croate",B54)),ISNUMBER(SEARCH("ukrainien",B54)),ISNUMBER(SEARCH("bulgare",B54)),ISNUMBER(SEARCH("biélorusse",B54)),ISNUMBER(SEARCH("maltais",B54))),"Autres pays d'Europe",IF(OR(ISNUMBER(SEARCH("américain",B54)),ISNUMBER(SEARCH("mexicain",B54)),ISNUMBER(SEARCH("canadien",B54)),ISNUMBER(SEARCH("brésilien",B54)),ISNUMBER(SEARCH("argentin",B54))),"Amérique",IF(OR(ISNUMBER(SEARCH("chinois",B54)),ISNUMBER(SEARCH("japonais",B54)),ISNUMBER(SEARCH("coréen",B54)),ISNUMBER(SEARCH("indien",B54)),ISNUMBER(SEARCH("persan",B54)),ISNUMBER(SEARCH("iranien",B54))),"Asie","(non classée)"))))</f>
        <v/>
      </c>
    </row>
    <row r="55">
      <c r="A55" s="2" t="inlineStr">
        <is>
          <t>ANDREA DEL SARTO</t>
        </is>
      </c>
      <c r="B55" s="2" t="inlineStr">
        <is>
          <t>italienne</t>
        </is>
      </c>
      <c r="C55" s="2" t="inlineStr">
        <is>
          <t>peinture</t>
        </is>
      </c>
      <c r="D55" s="2" t="inlineStr">
        <is>
          <t>16e</t>
        </is>
      </c>
      <c r="U55">
        <f>IF(ISNUMBER(SEARCH("fran",B55)),"France",IF(OR(ISNUMBER(SEARCH("italien",B55)),ISNUMBER(SEARCH("espagn",B55)),ISNUMBER(SEARCH("catalan",B55)),ISNUMBER(SEARCH("flamand",B55)),ISNUMBER(SEARCH("belge",B55)),ISNUMBER(SEARCH("hollandais",B55)),ISNUMBER(SEARCH("néerlandais",B55)),ISNUMBER(SEARCH("allemand",B55)),ISNUMBER(SEARCH("autrichien",B55)),ISNUMBER(SEARCH("suisse",B55)),ISNUMBER(SEARCH("anglais",B55)),ISNUMBER(SEARCH("britannique",B55)),ISNUMBER(SEARCH("écossais",B55)),ISNUMBER(SEARCH("irlandais",B55)),ISNUMBER(SEARCH("russe",B55)),ISNUMBER(SEARCH("portugais",B55)),ISNUMBER(SEARCH("danois",B55)),ISNUMBER(SEARCH("norvégien",B55)),ISNUMBER(SEARCH("suédois",B55)),ISNUMBER(SEARCH("finlandais",B55)),ISNUMBER(SEARCH("polonais",B55)),ISNUMBER(SEARCH("tchèque",B55)),ISNUMBER(SEARCH("hongrois",B55)),ISNUMBER(SEARCH("grec",B55)),ISNUMBER(SEARCH("byzantin",B55)),ISNUMBER(SEARCH("croate",B55)),ISNUMBER(SEARCH("ukrainien",B55)),ISNUMBER(SEARCH("bulgare",B55)),ISNUMBER(SEARCH("biélorusse",B55)),ISNUMBER(SEARCH("maltais",B55))),"Autres pays d'Europe",IF(OR(ISNUMBER(SEARCH("américain",B55)),ISNUMBER(SEARCH("mexicain",B55)),ISNUMBER(SEARCH("canadien",B55)),ISNUMBER(SEARCH("brésilien",B55)),ISNUMBER(SEARCH("argentin",B55))),"Amérique",IF(OR(ISNUMBER(SEARCH("chinois",B55)),ISNUMBER(SEARCH("japonais",B55)),ISNUMBER(SEARCH("coréen",B55)),ISNUMBER(SEARCH("indien",B55)),ISNUMBER(SEARCH("persan",B55)),ISNUMBER(SEARCH("iranien",B55))),"Asie","(non classée)"))))</f>
        <v/>
      </c>
    </row>
    <row r="56">
      <c r="A56" s="2" t="inlineStr">
        <is>
          <t>ANDREA DEL VERROCCHIO</t>
        </is>
      </c>
      <c r="B56" s="2" t="inlineStr">
        <is>
          <t>italienne</t>
        </is>
      </c>
      <c r="C56" s="2" t="inlineStr">
        <is>
          <t>peinture, sculpture</t>
        </is>
      </c>
      <c r="D56" s="2" t="inlineStr">
        <is>
          <t>15e</t>
        </is>
      </c>
      <c r="U56">
        <f>IF(ISNUMBER(SEARCH("fran",B56)),"France",IF(OR(ISNUMBER(SEARCH("italien",B56)),ISNUMBER(SEARCH("espagn",B56)),ISNUMBER(SEARCH("catalan",B56)),ISNUMBER(SEARCH("flamand",B56)),ISNUMBER(SEARCH("belge",B56)),ISNUMBER(SEARCH("hollandais",B56)),ISNUMBER(SEARCH("néerlandais",B56)),ISNUMBER(SEARCH("allemand",B56)),ISNUMBER(SEARCH("autrichien",B56)),ISNUMBER(SEARCH("suisse",B56)),ISNUMBER(SEARCH("anglais",B56)),ISNUMBER(SEARCH("britannique",B56)),ISNUMBER(SEARCH("écossais",B56)),ISNUMBER(SEARCH("irlandais",B56)),ISNUMBER(SEARCH("russe",B56)),ISNUMBER(SEARCH("portugais",B56)),ISNUMBER(SEARCH("danois",B56)),ISNUMBER(SEARCH("norvégien",B56)),ISNUMBER(SEARCH("suédois",B56)),ISNUMBER(SEARCH("finlandais",B56)),ISNUMBER(SEARCH("polonais",B56)),ISNUMBER(SEARCH("tchèque",B56)),ISNUMBER(SEARCH("hongrois",B56)),ISNUMBER(SEARCH("grec",B56)),ISNUMBER(SEARCH("byzantin",B56)),ISNUMBER(SEARCH("croate",B56)),ISNUMBER(SEARCH("ukrainien",B56)),ISNUMBER(SEARCH("bulgare",B56)),ISNUMBER(SEARCH("biélorusse",B56)),ISNUMBER(SEARCH("maltais",B56))),"Autres pays d'Europe",IF(OR(ISNUMBER(SEARCH("américain",B56)),ISNUMBER(SEARCH("mexicain",B56)),ISNUMBER(SEARCH("canadien",B56)),ISNUMBER(SEARCH("brésilien",B56)),ISNUMBER(SEARCH("argentin",B56))),"Amérique",IF(OR(ISNUMBER(SEARCH("chinois",B56)),ISNUMBER(SEARCH("japonais",B56)),ISNUMBER(SEARCH("coréen",B56)),ISNUMBER(SEARCH("indien",B56)),ISNUMBER(SEARCH("persan",B56)),ISNUMBER(SEARCH("iranien",B56))),"Asie","(non classée)"))))</f>
        <v/>
      </c>
    </row>
    <row r="57">
      <c r="A57" s="2" t="inlineStr">
        <is>
          <t>ANDREA DELLA ROBBIA</t>
        </is>
      </c>
      <c r="B57" s="2" t="inlineStr">
        <is>
          <t>italienne</t>
        </is>
      </c>
      <c r="C57" s="2" t="inlineStr">
        <is>
          <t>sculpture</t>
        </is>
      </c>
      <c r="D57" s="2" t="inlineStr">
        <is>
          <t>15e</t>
        </is>
      </c>
      <c r="U57">
        <f>IF(ISNUMBER(SEARCH("fran",B57)),"France",IF(OR(ISNUMBER(SEARCH("italien",B57)),ISNUMBER(SEARCH("espagn",B57)),ISNUMBER(SEARCH("catalan",B57)),ISNUMBER(SEARCH("flamand",B57)),ISNUMBER(SEARCH("belge",B57)),ISNUMBER(SEARCH("hollandais",B57)),ISNUMBER(SEARCH("néerlandais",B57)),ISNUMBER(SEARCH("allemand",B57)),ISNUMBER(SEARCH("autrichien",B57)),ISNUMBER(SEARCH("suisse",B57)),ISNUMBER(SEARCH("anglais",B57)),ISNUMBER(SEARCH("britannique",B57)),ISNUMBER(SEARCH("écossais",B57)),ISNUMBER(SEARCH("irlandais",B57)),ISNUMBER(SEARCH("russe",B57)),ISNUMBER(SEARCH("portugais",B57)),ISNUMBER(SEARCH("danois",B57)),ISNUMBER(SEARCH("norvégien",B57)),ISNUMBER(SEARCH("suédois",B57)),ISNUMBER(SEARCH("finlandais",B57)),ISNUMBER(SEARCH("polonais",B57)),ISNUMBER(SEARCH("tchèque",B57)),ISNUMBER(SEARCH("hongrois",B57)),ISNUMBER(SEARCH("grec",B57)),ISNUMBER(SEARCH("byzantin",B57)),ISNUMBER(SEARCH("croate",B57)),ISNUMBER(SEARCH("ukrainien",B57)),ISNUMBER(SEARCH("bulgare",B57)),ISNUMBER(SEARCH("biélorusse",B57)),ISNUMBER(SEARCH("maltais",B57))),"Autres pays d'Europe",IF(OR(ISNUMBER(SEARCH("américain",B57)),ISNUMBER(SEARCH("mexicain",B57)),ISNUMBER(SEARCH("canadien",B57)),ISNUMBER(SEARCH("brésilien",B57)),ISNUMBER(SEARCH("argentin",B57))),"Amérique",IF(OR(ISNUMBER(SEARCH("chinois",B57)),ISNUMBER(SEARCH("japonais",B57)),ISNUMBER(SEARCH("coréen",B57)),ISNUMBER(SEARCH("indien",B57)),ISNUMBER(SEARCH("persan",B57)),ISNUMBER(SEARCH("iranien",B57))),"Asie","(non classée)"))))</f>
        <v/>
      </c>
    </row>
    <row r="58">
      <c r="A58" s="2" t="inlineStr">
        <is>
          <t>ANDREA DI BARTOLO</t>
        </is>
      </c>
      <c r="B58" s="2" t="inlineStr">
        <is>
          <t>italienne</t>
        </is>
      </c>
      <c r="C58" s="2" t="inlineStr">
        <is>
          <t>peinture</t>
        </is>
      </c>
      <c r="D58" s="2" t="inlineStr">
        <is>
          <t>14e</t>
        </is>
      </c>
      <c r="U58">
        <f>IF(ISNUMBER(SEARCH("fran",B58)),"France",IF(OR(ISNUMBER(SEARCH("italien",B58)),ISNUMBER(SEARCH("espagn",B58)),ISNUMBER(SEARCH("catalan",B58)),ISNUMBER(SEARCH("flamand",B58)),ISNUMBER(SEARCH("belge",B58)),ISNUMBER(SEARCH("hollandais",B58)),ISNUMBER(SEARCH("néerlandais",B58)),ISNUMBER(SEARCH("allemand",B58)),ISNUMBER(SEARCH("autrichien",B58)),ISNUMBER(SEARCH("suisse",B58)),ISNUMBER(SEARCH("anglais",B58)),ISNUMBER(SEARCH("britannique",B58)),ISNUMBER(SEARCH("écossais",B58)),ISNUMBER(SEARCH("irlandais",B58)),ISNUMBER(SEARCH("russe",B58)),ISNUMBER(SEARCH("portugais",B58)),ISNUMBER(SEARCH("danois",B58)),ISNUMBER(SEARCH("norvégien",B58)),ISNUMBER(SEARCH("suédois",B58)),ISNUMBER(SEARCH("finlandais",B58)),ISNUMBER(SEARCH("polonais",B58)),ISNUMBER(SEARCH("tchèque",B58)),ISNUMBER(SEARCH("hongrois",B58)),ISNUMBER(SEARCH("grec",B58)),ISNUMBER(SEARCH("byzantin",B58)),ISNUMBER(SEARCH("croate",B58)),ISNUMBER(SEARCH("ukrainien",B58)),ISNUMBER(SEARCH("bulgare",B58)),ISNUMBER(SEARCH("biélorusse",B58)),ISNUMBER(SEARCH("maltais",B58))),"Autres pays d'Europe",IF(OR(ISNUMBER(SEARCH("américain",B58)),ISNUMBER(SEARCH("mexicain",B58)),ISNUMBER(SEARCH("canadien",B58)),ISNUMBER(SEARCH("brésilien",B58)),ISNUMBER(SEARCH("argentin",B58))),"Amérique",IF(OR(ISNUMBER(SEARCH("chinois",B58)),ISNUMBER(SEARCH("japonais",B58)),ISNUMBER(SEARCH("coréen",B58)),ISNUMBER(SEARCH("indien",B58)),ISNUMBER(SEARCH("persan",B58)),ISNUMBER(SEARCH("iranien",B58))),"Asie","(non classée)"))))</f>
        <v/>
      </c>
    </row>
    <row r="59">
      <c r="A59" s="2" t="inlineStr">
        <is>
          <t>ANDREAS SCHLÜTER</t>
        </is>
      </c>
      <c r="B59" s="2" t="inlineStr">
        <is>
          <t>allemande</t>
        </is>
      </c>
      <c r="C59" s="2" t="inlineStr">
        <is>
          <t>sculpture</t>
        </is>
      </c>
      <c r="D59" s="2" t="inlineStr">
        <is>
          <t>17e</t>
        </is>
      </c>
      <c r="U59">
        <f>IF(ISNUMBER(SEARCH("fran",B59)),"France",IF(OR(ISNUMBER(SEARCH("italien",B59)),ISNUMBER(SEARCH("espagn",B59)),ISNUMBER(SEARCH("catalan",B59)),ISNUMBER(SEARCH("flamand",B59)),ISNUMBER(SEARCH("belge",B59)),ISNUMBER(SEARCH("hollandais",B59)),ISNUMBER(SEARCH("néerlandais",B59)),ISNUMBER(SEARCH("allemand",B59)),ISNUMBER(SEARCH("autrichien",B59)),ISNUMBER(SEARCH("suisse",B59)),ISNUMBER(SEARCH("anglais",B59)),ISNUMBER(SEARCH("britannique",B59)),ISNUMBER(SEARCH("écossais",B59)),ISNUMBER(SEARCH("irlandais",B59)),ISNUMBER(SEARCH("russe",B59)),ISNUMBER(SEARCH("portugais",B59)),ISNUMBER(SEARCH("danois",B59)),ISNUMBER(SEARCH("norvégien",B59)),ISNUMBER(SEARCH("suédois",B59)),ISNUMBER(SEARCH("finlandais",B59)),ISNUMBER(SEARCH("polonais",B59)),ISNUMBER(SEARCH("tchèque",B59)),ISNUMBER(SEARCH("hongrois",B59)),ISNUMBER(SEARCH("grec",B59)),ISNUMBER(SEARCH("byzantin",B59)),ISNUMBER(SEARCH("croate",B59)),ISNUMBER(SEARCH("ukrainien",B59)),ISNUMBER(SEARCH("bulgare",B59)),ISNUMBER(SEARCH("biélorusse",B59)),ISNUMBER(SEARCH("maltais",B59))),"Autres pays d'Europe",IF(OR(ISNUMBER(SEARCH("américain",B59)),ISNUMBER(SEARCH("mexicain",B59)),ISNUMBER(SEARCH("canadien",B59)),ISNUMBER(SEARCH("brésilien",B59)),ISNUMBER(SEARCH("argentin",B59))),"Amérique",IF(OR(ISNUMBER(SEARCH("chinois",B59)),ISNUMBER(SEARCH("japonais",B59)),ISNUMBER(SEARCH("coréen",B59)),ISNUMBER(SEARCH("indien",B59)),ISNUMBER(SEARCH("persan",B59)),ISNUMBER(SEARCH("iranien",B59))),"Asie","(non classée)"))))</f>
        <v/>
      </c>
    </row>
    <row r="60">
      <c r="A60" s="2" t="inlineStr">
        <is>
          <t>ANDRÉ BEAUNEVEU</t>
        </is>
      </c>
      <c r="B60" s="2" t="inlineStr">
        <is>
          <t>française</t>
        </is>
      </c>
      <c r="C60" s="2" t="inlineStr">
        <is>
          <t>peinture, sculpture</t>
        </is>
      </c>
      <c r="D60" s="2" t="inlineStr">
        <is>
          <t>14e</t>
        </is>
      </c>
      <c r="U60">
        <f>IF(ISNUMBER(SEARCH("fran",B60)),"France",IF(OR(ISNUMBER(SEARCH("italien",B60)),ISNUMBER(SEARCH("espagn",B60)),ISNUMBER(SEARCH("catalan",B60)),ISNUMBER(SEARCH("flamand",B60)),ISNUMBER(SEARCH("belge",B60)),ISNUMBER(SEARCH("hollandais",B60)),ISNUMBER(SEARCH("néerlandais",B60)),ISNUMBER(SEARCH("allemand",B60)),ISNUMBER(SEARCH("autrichien",B60)),ISNUMBER(SEARCH("suisse",B60)),ISNUMBER(SEARCH("anglais",B60)),ISNUMBER(SEARCH("britannique",B60)),ISNUMBER(SEARCH("écossais",B60)),ISNUMBER(SEARCH("irlandais",B60)),ISNUMBER(SEARCH("russe",B60)),ISNUMBER(SEARCH("portugais",B60)),ISNUMBER(SEARCH("danois",B60)),ISNUMBER(SEARCH("norvégien",B60)),ISNUMBER(SEARCH("suédois",B60)),ISNUMBER(SEARCH("finlandais",B60)),ISNUMBER(SEARCH("polonais",B60)),ISNUMBER(SEARCH("tchèque",B60)),ISNUMBER(SEARCH("hongrois",B60)),ISNUMBER(SEARCH("grec",B60)),ISNUMBER(SEARCH("byzantin",B60)),ISNUMBER(SEARCH("croate",B60)),ISNUMBER(SEARCH("ukrainien",B60)),ISNUMBER(SEARCH("bulgare",B60)),ISNUMBER(SEARCH("biélorusse",B60)),ISNUMBER(SEARCH("maltais",B60))),"Autres pays d'Europe",IF(OR(ISNUMBER(SEARCH("américain",B60)),ISNUMBER(SEARCH("mexicain",B60)),ISNUMBER(SEARCH("canadien",B60)),ISNUMBER(SEARCH("brésilien",B60)),ISNUMBER(SEARCH("argentin",B60))),"Amérique",IF(OR(ISNUMBER(SEARCH("chinois",B60)),ISNUMBER(SEARCH("japonais",B60)),ISNUMBER(SEARCH("coréen",B60)),ISNUMBER(SEARCH("indien",B60)),ISNUMBER(SEARCH("persan",B60)),ISNUMBER(SEARCH("iranien",B60))),"Asie","(non classée)"))))</f>
        <v/>
      </c>
    </row>
    <row r="61">
      <c r="A61" s="2" t="inlineStr">
        <is>
          <t>ANDRÉ DERAIN</t>
        </is>
      </c>
      <c r="B61" s="2" t="inlineStr">
        <is>
          <t>française</t>
        </is>
      </c>
      <c r="C61" s="2" t="inlineStr">
        <is>
          <t>peinture</t>
        </is>
      </c>
      <c r="D61" s="2" t="inlineStr">
        <is>
          <t>20e</t>
        </is>
      </c>
      <c r="U61">
        <f>IF(ISNUMBER(SEARCH("fran",B61)),"France",IF(OR(ISNUMBER(SEARCH("italien",B61)),ISNUMBER(SEARCH("espagn",B61)),ISNUMBER(SEARCH("catalan",B61)),ISNUMBER(SEARCH("flamand",B61)),ISNUMBER(SEARCH("belge",B61)),ISNUMBER(SEARCH("hollandais",B61)),ISNUMBER(SEARCH("néerlandais",B61)),ISNUMBER(SEARCH("allemand",B61)),ISNUMBER(SEARCH("autrichien",B61)),ISNUMBER(SEARCH("suisse",B61)),ISNUMBER(SEARCH("anglais",B61)),ISNUMBER(SEARCH("britannique",B61)),ISNUMBER(SEARCH("écossais",B61)),ISNUMBER(SEARCH("irlandais",B61)),ISNUMBER(SEARCH("russe",B61)),ISNUMBER(SEARCH("portugais",B61)),ISNUMBER(SEARCH("danois",B61)),ISNUMBER(SEARCH("norvégien",B61)),ISNUMBER(SEARCH("suédois",B61)),ISNUMBER(SEARCH("finlandais",B61)),ISNUMBER(SEARCH("polonais",B61)),ISNUMBER(SEARCH("tchèque",B61)),ISNUMBER(SEARCH("hongrois",B61)),ISNUMBER(SEARCH("grec",B61)),ISNUMBER(SEARCH("byzantin",B61)),ISNUMBER(SEARCH("croate",B61)),ISNUMBER(SEARCH("ukrainien",B61)),ISNUMBER(SEARCH("bulgare",B61)),ISNUMBER(SEARCH("biélorusse",B61)),ISNUMBER(SEARCH("maltais",B61))),"Autres pays d'Europe",IF(OR(ISNUMBER(SEARCH("américain",B61)),ISNUMBER(SEARCH("mexicain",B61)),ISNUMBER(SEARCH("canadien",B61)),ISNUMBER(SEARCH("brésilien",B61)),ISNUMBER(SEARCH("argentin",B61))),"Amérique",IF(OR(ISNUMBER(SEARCH("chinois",B61)),ISNUMBER(SEARCH("japonais",B61)),ISNUMBER(SEARCH("coréen",B61)),ISNUMBER(SEARCH("indien",B61)),ISNUMBER(SEARCH("persan",B61)),ISNUMBER(SEARCH("iranien",B61))),"Asie","(non classée)"))))</f>
        <v/>
      </c>
    </row>
    <row r="62">
      <c r="A62" s="2" t="inlineStr">
        <is>
          <t>ANGELICA KAUFFMAN</t>
        </is>
      </c>
      <c r="B62" s="2" t="inlineStr">
        <is>
          <t>suisse</t>
        </is>
      </c>
      <c r="C62" s="2" t="inlineStr">
        <is>
          <t>peinture</t>
        </is>
      </c>
      <c r="D62" s="2" t="inlineStr">
        <is>
          <t>18e</t>
        </is>
      </c>
      <c r="U62">
        <f>IF(ISNUMBER(SEARCH("fran",B62)),"France",IF(OR(ISNUMBER(SEARCH("italien",B62)),ISNUMBER(SEARCH("espagn",B62)),ISNUMBER(SEARCH("catalan",B62)),ISNUMBER(SEARCH("flamand",B62)),ISNUMBER(SEARCH("belge",B62)),ISNUMBER(SEARCH("hollandais",B62)),ISNUMBER(SEARCH("néerlandais",B62)),ISNUMBER(SEARCH("allemand",B62)),ISNUMBER(SEARCH("autrichien",B62)),ISNUMBER(SEARCH("suisse",B62)),ISNUMBER(SEARCH("anglais",B62)),ISNUMBER(SEARCH("britannique",B62)),ISNUMBER(SEARCH("écossais",B62)),ISNUMBER(SEARCH("irlandais",B62)),ISNUMBER(SEARCH("russe",B62)),ISNUMBER(SEARCH("portugais",B62)),ISNUMBER(SEARCH("danois",B62)),ISNUMBER(SEARCH("norvégien",B62)),ISNUMBER(SEARCH("suédois",B62)),ISNUMBER(SEARCH("finlandais",B62)),ISNUMBER(SEARCH("polonais",B62)),ISNUMBER(SEARCH("tchèque",B62)),ISNUMBER(SEARCH("hongrois",B62)),ISNUMBER(SEARCH("grec",B62)),ISNUMBER(SEARCH("byzantin",B62)),ISNUMBER(SEARCH("croate",B62)),ISNUMBER(SEARCH("ukrainien",B62)),ISNUMBER(SEARCH("bulgare",B62)),ISNUMBER(SEARCH("biélorusse",B62)),ISNUMBER(SEARCH("maltais",B62))),"Autres pays d'Europe",IF(OR(ISNUMBER(SEARCH("américain",B62)),ISNUMBER(SEARCH("mexicain",B62)),ISNUMBER(SEARCH("canadien",B62)),ISNUMBER(SEARCH("brésilien",B62)),ISNUMBER(SEARCH("argentin",B62))),"Amérique",IF(OR(ISNUMBER(SEARCH("chinois",B62)),ISNUMBER(SEARCH("japonais",B62)),ISNUMBER(SEARCH("coréen",B62)),ISNUMBER(SEARCH("indien",B62)),ISNUMBER(SEARCH("persan",B62)),ISNUMBER(SEARCH("iranien",B62))),"Asie","(non classée)"))))</f>
        <v/>
      </c>
    </row>
    <row r="63">
      <c r="A63" s="2" t="inlineStr">
        <is>
          <t>ANNA COLEMAN LADD</t>
        </is>
      </c>
      <c r="B63" s="2" t="inlineStr">
        <is>
          <t>américaine</t>
        </is>
      </c>
      <c r="C63" s="2" t="inlineStr">
        <is>
          <t>sculpture</t>
        </is>
      </c>
      <c r="D63" s="2" t="inlineStr">
        <is>
          <t>20e</t>
        </is>
      </c>
      <c r="U63">
        <f>IF(ISNUMBER(SEARCH("fran",B63)),"France",IF(OR(ISNUMBER(SEARCH("italien",B63)),ISNUMBER(SEARCH("espagn",B63)),ISNUMBER(SEARCH("catalan",B63)),ISNUMBER(SEARCH("flamand",B63)),ISNUMBER(SEARCH("belge",B63)),ISNUMBER(SEARCH("hollandais",B63)),ISNUMBER(SEARCH("néerlandais",B63)),ISNUMBER(SEARCH("allemand",B63)),ISNUMBER(SEARCH("autrichien",B63)),ISNUMBER(SEARCH("suisse",B63)),ISNUMBER(SEARCH("anglais",B63)),ISNUMBER(SEARCH("britannique",B63)),ISNUMBER(SEARCH("écossais",B63)),ISNUMBER(SEARCH("irlandais",B63)),ISNUMBER(SEARCH("russe",B63)),ISNUMBER(SEARCH("portugais",B63)),ISNUMBER(SEARCH("danois",B63)),ISNUMBER(SEARCH("norvégien",B63)),ISNUMBER(SEARCH("suédois",B63)),ISNUMBER(SEARCH("finlandais",B63)),ISNUMBER(SEARCH("polonais",B63)),ISNUMBER(SEARCH("tchèque",B63)),ISNUMBER(SEARCH("hongrois",B63)),ISNUMBER(SEARCH("grec",B63)),ISNUMBER(SEARCH("byzantin",B63)),ISNUMBER(SEARCH("croate",B63)),ISNUMBER(SEARCH("ukrainien",B63)),ISNUMBER(SEARCH("bulgare",B63)),ISNUMBER(SEARCH("biélorusse",B63)),ISNUMBER(SEARCH("maltais",B63))),"Autres pays d'Europe",IF(OR(ISNUMBER(SEARCH("américain",B63)),ISNUMBER(SEARCH("mexicain",B63)),ISNUMBER(SEARCH("canadien",B63)),ISNUMBER(SEARCH("brésilien",B63)),ISNUMBER(SEARCH("argentin",B63))),"Amérique",IF(OR(ISNUMBER(SEARCH("chinois",B63)),ISNUMBER(SEARCH("japonais",B63)),ISNUMBER(SEARCH("coréen",B63)),ISNUMBER(SEARCH("indien",B63)),ISNUMBER(SEARCH("persan",B63)),ISNUMBER(SEARCH("iranien",B63))),"Asie","(non classée)"))))</f>
        <v/>
      </c>
    </row>
    <row r="64">
      <c r="A64" s="2" t="inlineStr">
        <is>
          <t>ANNE WHITNEY</t>
        </is>
      </c>
      <c r="B64" s="2" t="inlineStr">
        <is>
          <t>américaine</t>
        </is>
      </c>
      <c r="C64" s="2" t="inlineStr">
        <is>
          <t>sculpture</t>
        </is>
      </c>
      <c r="D64" s="2" t="inlineStr">
        <is>
          <t>19e</t>
        </is>
      </c>
      <c r="U64">
        <f>IF(ISNUMBER(SEARCH("fran",B64)),"France",IF(OR(ISNUMBER(SEARCH("italien",B64)),ISNUMBER(SEARCH("espagn",B64)),ISNUMBER(SEARCH("catalan",B64)),ISNUMBER(SEARCH("flamand",B64)),ISNUMBER(SEARCH("belge",B64)),ISNUMBER(SEARCH("hollandais",B64)),ISNUMBER(SEARCH("néerlandais",B64)),ISNUMBER(SEARCH("allemand",B64)),ISNUMBER(SEARCH("autrichien",B64)),ISNUMBER(SEARCH("suisse",B64)),ISNUMBER(SEARCH("anglais",B64)),ISNUMBER(SEARCH("britannique",B64)),ISNUMBER(SEARCH("écossais",B64)),ISNUMBER(SEARCH("irlandais",B64)),ISNUMBER(SEARCH("russe",B64)),ISNUMBER(SEARCH("portugais",B64)),ISNUMBER(SEARCH("danois",B64)),ISNUMBER(SEARCH("norvégien",B64)),ISNUMBER(SEARCH("suédois",B64)),ISNUMBER(SEARCH("finlandais",B64)),ISNUMBER(SEARCH("polonais",B64)),ISNUMBER(SEARCH("tchèque",B64)),ISNUMBER(SEARCH("hongrois",B64)),ISNUMBER(SEARCH("grec",B64)),ISNUMBER(SEARCH("byzantin",B64)),ISNUMBER(SEARCH("croate",B64)),ISNUMBER(SEARCH("ukrainien",B64)),ISNUMBER(SEARCH("bulgare",B64)),ISNUMBER(SEARCH("biélorusse",B64)),ISNUMBER(SEARCH("maltais",B64))),"Autres pays d'Europe",IF(OR(ISNUMBER(SEARCH("américain",B64)),ISNUMBER(SEARCH("mexicain",B64)),ISNUMBER(SEARCH("canadien",B64)),ISNUMBER(SEARCH("brésilien",B64)),ISNUMBER(SEARCH("argentin",B64))),"Amérique",IF(OR(ISNUMBER(SEARCH("chinois",B64)),ISNUMBER(SEARCH("japonais",B64)),ISNUMBER(SEARCH("coréen",B64)),ISNUMBER(SEARCH("indien",B64)),ISNUMBER(SEARCH("persan",B64)),ISNUMBER(SEARCH("iranien",B64))),"Asie","(non classée)"))))</f>
        <v/>
      </c>
    </row>
    <row r="65">
      <c r="A65" s="2" t="inlineStr">
        <is>
          <t>ANNE-LOUIS GIRODET</t>
        </is>
      </c>
      <c r="B65" s="2" t="inlineStr">
        <is>
          <t>française</t>
        </is>
      </c>
      <c r="C65" s="2" t="inlineStr">
        <is>
          <t>peinture</t>
        </is>
      </c>
      <c r="D65" s="2" t="inlineStr">
        <is>
          <t>18e</t>
        </is>
      </c>
      <c r="U65">
        <f>IF(ISNUMBER(SEARCH("fran",B65)),"France",IF(OR(ISNUMBER(SEARCH("italien",B65)),ISNUMBER(SEARCH("espagn",B65)),ISNUMBER(SEARCH("catalan",B65)),ISNUMBER(SEARCH("flamand",B65)),ISNUMBER(SEARCH("belge",B65)),ISNUMBER(SEARCH("hollandais",B65)),ISNUMBER(SEARCH("néerlandais",B65)),ISNUMBER(SEARCH("allemand",B65)),ISNUMBER(SEARCH("autrichien",B65)),ISNUMBER(SEARCH("suisse",B65)),ISNUMBER(SEARCH("anglais",B65)),ISNUMBER(SEARCH("britannique",B65)),ISNUMBER(SEARCH("écossais",B65)),ISNUMBER(SEARCH("irlandais",B65)),ISNUMBER(SEARCH("russe",B65)),ISNUMBER(SEARCH("portugais",B65)),ISNUMBER(SEARCH("danois",B65)),ISNUMBER(SEARCH("norvégien",B65)),ISNUMBER(SEARCH("suédois",B65)),ISNUMBER(SEARCH("finlandais",B65)),ISNUMBER(SEARCH("polonais",B65)),ISNUMBER(SEARCH("tchèque",B65)),ISNUMBER(SEARCH("hongrois",B65)),ISNUMBER(SEARCH("grec",B65)),ISNUMBER(SEARCH("byzantin",B65)),ISNUMBER(SEARCH("croate",B65)),ISNUMBER(SEARCH("ukrainien",B65)),ISNUMBER(SEARCH("bulgare",B65)),ISNUMBER(SEARCH("biélorusse",B65)),ISNUMBER(SEARCH("maltais",B65))),"Autres pays d'Europe",IF(OR(ISNUMBER(SEARCH("américain",B65)),ISNUMBER(SEARCH("mexicain",B65)),ISNUMBER(SEARCH("canadien",B65)),ISNUMBER(SEARCH("brésilien",B65)),ISNUMBER(SEARCH("argentin",B65))),"Amérique",IF(OR(ISNUMBER(SEARCH("chinois",B65)),ISNUMBER(SEARCH("japonais",B65)),ISNUMBER(SEARCH("coréen",B65)),ISNUMBER(SEARCH("indien",B65)),ISNUMBER(SEARCH("persan",B65)),ISNUMBER(SEARCH("iranien",B65))),"Asie","(non classée)"))))</f>
        <v/>
      </c>
    </row>
    <row r="66">
      <c r="A66" s="2" t="inlineStr">
        <is>
          <t>ANNIBAL CARRACHE</t>
        </is>
      </c>
      <c r="B66" s="2" t="inlineStr">
        <is>
          <t>italienne</t>
        </is>
      </c>
      <c r="C66" s="2" t="inlineStr">
        <is>
          <t>peinture</t>
        </is>
      </c>
      <c r="D66" s="2" t="inlineStr">
        <is>
          <t>16e</t>
        </is>
      </c>
      <c r="U66">
        <f>IF(ISNUMBER(SEARCH("fran",B66)),"France",IF(OR(ISNUMBER(SEARCH("italien",B66)),ISNUMBER(SEARCH("espagn",B66)),ISNUMBER(SEARCH("catalan",B66)),ISNUMBER(SEARCH("flamand",B66)),ISNUMBER(SEARCH("belge",B66)),ISNUMBER(SEARCH("hollandais",B66)),ISNUMBER(SEARCH("néerlandais",B66)),ISNUMBER(SEARCH("allemand",B66)),ISNUMBER(SEARCH("autrichien",B66)),ISNUMBER(SEARCH("suisse",B66)),ISNUMBER(SEARCH("anglais",B66)),ISNUMBER(SEARCH("britannique",B66)),ISNUMBER(SEARCH("écossais",B66)),ISNUMBER(SEARCH("irlandais",B66)),ISNUMBER(SEARCH("russe",B66)),ISNUMBER(SEARCH("portugais",B66)),ISNUMBER(SEARCH("danois",B66)),ISNUMBER(SEARCH("norvégien",B66)),ISNUMBER(SEARCH("suédois",B66)),ISNUMBER(SEARCH("finlandais",B66)),ISNUMBER(SEARCH("polonais",B66)),ISNUMBER(SEARCH("tchèque",B66)),ISNUMBER(SEARCH("hongrois",B66)),ISNUMBER(SEARCH("grec",B66)),ISNUMBER(SEARCH("byzantin",B66)),ISNUMBER(SEARCH("croate",B66)),ISNUMBER(SEARCH("ukrainien",B66)),ISNUMBER(SEARCH("bulgare",B66)),ISNUMBER(SEARCH("biélorusse",B66)),ISNUMBER(SEARCH("maltais",B66))),"Autres pays d'Europe",IF(OR(ISNUMBER(SEARCH("américain",B66)),ISNUMBER(SEARCH("mexicain",B66)),ISNUMBER(SEARCH("canadien",B66)),ISNUMBER(SEARCH("brésilien",B66)),ISNUMBER(SEARCH("argentin",B66))),"Amérique",IF(OR(ISNUMBER(SEARCH("chinois",B66)),ISNUMBER(SEARCH("japonais",B66)),ISNUMBER(SEARCH("coréen",B66)),ISNUMBER(SEARCH("indien",B66)),ISNUMBER(SEARCH("persan",B66)),ISNUMBER(SEARCH("iranien",B66))),"Asie","(non classée)"))))</f>
        <v/>
      </c>
    </row>
    <row r="67">
      <c r="A67" s="2" t="inlineStr">
        <is>
          <t>ANNIBALE CARRACI OU CARRACHE</t>
        </is>
      </c>
      <c r="B67" s="2" t="inlineStr">
        <is>
          <t>italienne</t>
        </is>
      </c>
      <c r="C67" s="2" t="inlineStr">
        <is>
          <t>peinture</t>
        </is>
      </c>
      <c r="D67" s="2" t="inlineStr">
        <is>
          <t>17e</t>
        </is>
      </c>
      <c r="U67">
        <f>IF(ISNUMBER(SEARCH("fran",B67)),"France",IF(OR(ISNUMBER(SEARCH("italien",B67)),ISNUMBER(SEARCH("espagn",B67)),ISNUMBER(SEARCH("catalan",B67)),ISNUMBER(SEARCH("flamand",B67)),ISNUMBER(SEARCH("belge",B67)),ISNUMBER(SEARCH("hollandais",B67)),ISNUMBER(SEARCH("néerlandais",B67)),ISNUMBER(SEARCH("allemand",B67)),ISNUMBER(SEARCH("autrichien",B67)),ISNUMBER(SEARCH("suisse",B67)),ISNUMBER(SEARCH("anglais",B67)),ISNUMBER(SEARCH("britannique",B67)),ISNUMBER(SEARCH("écossais",B67)),ISNUMBER(SEARCH("irlandais",B67)),ISNUMBER(SEARCH("russe",B67)),ISNUMBER(SEARCH("portugais",B67)),ISNUMBER(SEARCH("danois",B67)),ISNUMBER(SEARCH("norvégien",B67)),ISNUMBER(SEARCH("suédois",B67)),ISNUMBER(SEARCH("finlandais",B67)),ISNUMBER(SEARCH("polonais",B67)),ISNUMBER(SEARCH("tchèque",B67)),ISNUMBER(SEARCH("hongrois",B67)),ISNUMBER(SEARCH("grec",B67)),ISNUMBER(SEARCH("byzantin",B67)),ISNUMBER(SEARCH("croate",B67)),ISNUMBER(SEARCH("ukrainien",B67)),ISNUMBER(SEARCH("bulgare",B67)),ISNUMBER(SEARCH("biélorusse",B67)),ISNUMBER(SEARCH("maltais",B67))),"Autres pays d'Europe",IF(OR(ISNUMBER(SEARCH("américain",B67)),ISNUMBER(SEARCH("mexicain",B67)),ISNUMBER(SEARCH("canadien",B67)),ISNUMBER(SEARCH("brésilien",B67)),ISNUMBER(SEARCH("argentin",B67))),"Amérique",IF(OR(ISNUMBER(SEARCH("chinois",B67)),ISNUMBER(SEARCH("japonais",B67)),ISNUMBER(SEARCH("coréen",B67)),ISNUMBER(SEARCH("indien",B67)),ISNUMBER(SEARCH("persan",B67)),ISNUMBER(SEARCH("iranien",B67))),"Asie","(non classée)"))))</f>
        <v/>
      </c>
    </row>
    <row r="68">
      <c r="A68" s="2" t="inlineStr">
        <is>
          <t>ANTOINE BOURDELLE</t>
        </is>
      </c>
      <c r="B68" s="2" t="inlineStr">
        <is>
          <t>française</t>
        </is>
      </c>
      <c r="C68" s="2" t="inlineStr">
        <is>
          <t>sculpture</t>
        </is>
      </c>
      <c r="D68" s="2" t="inlineStr">
        <is>
          <t>20e</t>
        </is>
      </c>
      <c r="U68">
        <f>IF(ISNUMBER(SEARCH("fran",B68)),"France",IF(OR(ISNUMBER(SEARCH("italien",B68)),ISNUMBER(SEARCH("espagn",B68)),ISNUMBER(SEARCH("catalan",B68)),ISNUMBER(SEARCH("flamand",B68)),ISNUMBER(SEARCH("belge",B68)),ISNUMBER(SEARCH("hollandais",B68)),ISNUMBER(SEARCH("néerlandais",B68)),ISNUMBER(SEARCH("allemand",B68)),ISNUMBER(SEARCH("autrichien",B68)),ISNUMBER(SEARCH("suisse",B68)),ISNUMBER(SEARCH("anglais",B68)),ISNUMBER(SEARCH("britannique",B68)),ISNUMBER(SEARCH("écossais",B68)),ISNUMBER(SEARCH("irlandais",B68)),ISNUMBER(SEARCH("russe",B68)),ISNUMBER(SEARCH("portugais",B68)),ISNUMBER(SEARCH("danois",B68)),ISNUMBER(SEARCH("norvégien",B68)),ISNUMBER(SEARCH("suédois",B68)),ISNUMBER(SEARCH("finlandais",B68)),ISNUMBER(SEARCH("polonais",B68)),ISNUMBER(SEARCH("tchèque",B68)),ISNUMBER(SEARCH("hongrois",B68)),ISNUMBER(SEARCH("grec",B68)),ISNUMBER(SEARCH("byzantin",B68)),ISNUMBER(SEARCH("croate",B68)),ISNUMBER(SEARCH("ukrainien",B68)),ISNUMBER(SEARCH("bulgare",B68)),ISNUMBER(SEARCH("biélorusse",B68)),ISNUMBER(SEARCH("maltais",B68))),"Autres pays d'Europe",IF(OR(ISNUMBER(SEARCH("américain",B68)),ISNUMBER(SEARCH("mexicain",B68)),ISNUMBER(SEARCH("canadien",B68)),ISNUMBER(SEARCH("brésilien",B68)),ISNUMBER(SEARCH("argentin",B68))),"Amérique",IF(OR(ISNUMBER(SEARCH("chinois",B68)),ISNUMBER(SEARCH("japonais",B68)),ISNUMBER(SEARCH("coréen",B68)),ISNUMBER(SEARCH("indien",B68)),ISNUMBER(SEARCH("persan",B68)),ISNUMBER(SEARCH("iranien",B68))),"Asie","(non classée)"))))</f>
        <v/>
      </c>
    </row>
    <row r="69">
      <c r="A69" s="2" t="inlineStr">
        <is>
          <t>ANTOINE COYSEVOX</t>
        </is>
      </c>
      <c r="B69" s="2" t="inlineStr">
        <is>
          <t>française</t>
        </is>
      </c>
      <c r="C69" s="2" t="inlineStr">
        <is>
          <t>sculpture</t>
        </is>
      </c>
      <c r="D69" s="2" t="inlineStr">
        <is>
          <t>17e</t>
        </is>
      </c>
      <c r="U69">
        <f>IF(ISNUMBER(SEARCH("fran",B69)),"France",IF(OR(ISNUMBER(SEARCH("italien",B69)),ISNUMBER(SEARCH("espagn",B69)),ISNUMBER(SEARCH("catalan",B69)),ISNUMBER(SEARCH("flamand",B69)),ISNUMBER(SEARCH("belge",B69)),ISNUMBER(SEARCH("hollandais",B69)),ISNUMBER(SEARCH("néerlandais",B69)),ISNUMBER(SEARCH("allemand",B69)),ISNUMBER(SEARCH("autrichien",B69)),ISNUMBER(SEARCH("suisse",B69)),ISNUMBER(SEARCH("anglais",B69)),ISNUMBER(SEARCH("britannique",B69)),ISNUMBER(SEARCH("écossais",B69)),ISNUMBER(SEARCH("irlandais",B69)),ISNUMBER(SEARCH("russe",B69)),ISNUMBER(SEARCH("portugais",B69)),ISNUMBER(SEARCH("danois",B69)),ISNUMBER(SEARCH("norvégien",B69)),ISNUMBER(SEARCH("suédois",B69)),ISNUMBER(SEARCH("finlandais",B69)),ISNUMBER(SEARCH("polonais",B69)),ISNUMBER(SEARCH("tchèque",B69)),ISNUMBER(SEARCH("hongrois",B69)),ISNUMBER(SEARCH("grec",B69)),ISNUMBER(SEARCH("byzantin",B69)),ISNUMBER(SEARCH("croate",B69)),ISNUMBER(SEARCH("ukrainien",B69)),ISNUMBER(SEARCH("bulgare",B69)),ISNUMBER(SEARCH("biélorusse",B69)),ISNUMBER(SEARCH("maltais",B69))),"Autres pays d'Europe",IF(OR(ISNUMBER(SEARCH("américain",B69)),ISNUMBER(SEARCH("mexicain",B69)),ISNUMBER(SEARCH("canadien",B69)),ISNUMBER(SEARCH("brésilien",B69)),ISNUMBER(SEARCH("argentin",B69))),"Amérique",IF(OR(ISNUMBER(SEARCH("chinois",B69)),ISNUMBER(SEARCH("japonais",B69)),ISNUMBER(SEARCH("coréen",B69)),ISNUMBER(SEARCH("indien",B69)),ISNUMBER(SEARCH("persan",B69)),ISNUMBER(SEARCH("iranien",B69))),"Asie","(non classée)"))))</f>
        <v/>
      </c>
    </row>
    <row r="70">
      <c r="A70" s="2" t="inlineStr">
        <is>
          <t>ANTOINE ETEX</t>
        </is>
      </c>
      <c r="B70" s="2" t="inlineStr">
        <is>
          <t>française</t>
        </is>
      </c>
      <c r="C70" s="2" t="inlineStr">
        <is>
          <t>sculpture</t>
        </is>
      </c>
      <c r="D70" s="2" t="inlineStr">
        <is>
          <t>19e</t>
        </is>
      </c>
      <c r="U70">
        <f>IF(ISNUMBER(SEARCH("fran",B70)),"France",IF(OR(ISNUMBER(SEARCH("italien",B70)),ISNUMBER(SEARCH("espagn",B70)),ISNUMBER(SEARCH("catalan",B70)),ISNUMBER(SEARCH("flamand",B70)),ISNUMBER(SEARCH("belge",B70)),ISNUMBER(SEARCH("hollandais",B70)),ISNUMBER(SEARCH("néerlandais",B70)),ISNUMBER(SEARCH("allemand",B70)),ISNUMBER(SEARCH("autrichien",B70)),ISNUMBER(SEARCH("suisse",B70)),ISNUMBER(SEARCH("anglais",B70)),ISNUMBER(SEARCH("britannique",B70)),ISNUMBER(SEARCH("écossais",B70)),ISNUMBER(SEARCH("irlandais",B70)),ISNUMBER(SEARCH("russe",B70)),ISNUMBER(SEARCH("portugais",B70)),ISNUMBER(SEARCH("danois",B70)),ISNUMBER(SEARCH("norvégien",B70)),ISNUMBER(SEARCH("suédois",B70)),ISNUMBER(SEARCH("finlandais",B70)),ISNUMBER(SEARCH("polonais",B70)),ISNUMBER(SEARCH("tchèque",B70)),ISNUMBER(SEARCH("hongrois",B70)),ISNUMBER(SEARCH("grec",B70)),ISNUMBER(SEARCH("byzantin",B70)),ISNUMBER(SEARCH("croate",B70)),ISNUMBER(SEARCH("ukrainien",B70)),ISNUMBER(SEARCH("bulgare",B70)),ISNUMBER(SEARCH("biélorusse",B70)),ISNUMBER(SEARCH("maltais",B70))),"Autres pays d'Europe",IF(OR(ISNUMBER(SEARCH("américain",B70)),ISNUMBER(SEARCH("mexicain",B70)),ISNUMBER(SEARCH("canadien",B70)),ISNUMBER(SEARCH("brésilien",B70)),ISNUMBER(SEARCH("argentin",B70))),"Amérique",IF(OR(ISNUMBER(SEARCH("chinois",B70)),ISNUMBER(SEARCH("japonais",B70)),ISNUMBER(SEARCH("coréen",B70)),ISNUMBER(SEARCH("indien",B70)),ISNUMBER(SEARCH("persan",B70)),ISNUMBER(SEARCH("iranien",B70))),"Asie","(non classée)"))))</f>
        <v/>
      </c>
    </row>
    <row r="71">
      <c r="A71" s="2" t="inlineStr">
        <is>
          <t>ANTOINE VAN DYCK</t>
        </is>
      </c>
      <c r="B71" s="2" t="inlineStr">
        <is>
          <t>flamande (Belgique)</t>
        </is>
      </c>
      <c r="C71" s="2" t="inlineStr">
        <is>
          <t>peinture</t>
        </is>
      </c>
      <c r="D71" s="2" t="inlineStr">
        <is>
          <t>17e</t>
        </is>
      </c>
      <c r="U71">
        <f>IF(ISNUMBER(SEARCH("fran",B71)),"France",IF(OR(ISNUMBER(SEARCH("italien",B71)),ISNUMBER(SEARCH("espagn",B71)),ISNUMBER(SEARCH("catalan",B71)),ISNUMBER(SEARCH("flamand",B71)),ISNUMBER(SEARCH("belge",B71)),ISNUMBER(SEARCH("hollandais",B71)),ISNUMBER(SEARCH("néerlandais",B71)),ISNUMBER(SEARCH("allemand",B71)),ISNUMBER(SEARCH("autrichien",B71)),ISNUMBER(SEARCH("suisse",B71)),ISNUMBER(SEARCH("anglais",B71)),ISNUMBER(SEARCH("britannique",B71)),ISNUMBER(SEARCH("écossais",B71)),ISNUMBER(SEARCH("irlandais",B71)),ISNUMBER(SEARCH("russe",B71)),ISNUMBER(SEARCH("portugais",B71)),ISNUMBER(SEARCH("danois",B71)),ISNUMBER(SEARCH("norvégien",B71)),ISNUMBER(SEARCH("suédois",B71)),ISNUMBER(SEARCH("finlandais",B71)),ISNUMBER(SEARCH("polonais",B71)),ISNUMBER(SEARCH("tchèque",B71)),ISNUMBER(SEARCH("hongrois",B71)),ISNUMBER(SEARCH("grec",B71)),ISNUMBER(SEARCH("byzantin",B71)),ISNUMBER(SEARCH("croate",B71)),ISNUMBER(SEARCH("ukrainien",B71)),ISNUMBER(SEARCH("bulgare",B71)),ISNUMBER(SEARCH("biélorusse",B71)),ISNUMBER(SEARCH("maltais",B71))),"Autres pays d'Europe",IF(OR(ISNUMBER(SEARCH("américain",B71)),ISNUMBER(SEARCH("mexicain",B71)),ISNUMBER(SEARCH("canadien",B71)),ISNUMBER(SEARCH("brésilien",B71)),ISNUMBER(SEARCH("argentin",B71))),"Amérique",IF(OR(ISNUMBER(SEARCH("chinois",B71)),ISNUMBER(SEARCH("japonais",B71)),ISNUMBER(SEARCH("coréen",B71)),ISNUMBER(SEARCH("indien",B71)),ISNUMBER(SEARCH("persan",B71)),ISNUMBER(SEARCH("iranien",B71))),"Asie","(non classée)"))))</f>
        <v/>
      </c>
    </row>
    <row r="72">
      <c r="A72" s="2" t="inlineStr">
        <is>
          <t>ANTOINE-LOUIS BARYE</t>
        </is>
      </c>
      <c r="B72" s="2" t="inlineStr">
        <is>
          <t>française</t>
        </is>
      </c>
      <c r="C72" s="2" t="inlineStr">
        <is>
          <t>sculpture</t>
        </is>
      </c>
      <c r="D72" s="2" t="inlineStr">
        <is>
          <t>19e</t>
        </is>
      </c>
      <c r="U72">
        <f>IF(ISNUMBER(SEARCH("fran",B72)),"France",IF(OR(ISNUMBER(SEARCH("italien",B72)),ISNUMBER(SEARCH("espagn",B72)),ISNUMBER(SEARCH("catalan",B72)),ISNUMBER(SEARCH("flamand",B72)),ISNUMBER(SEARCH("belge",B72)),ISNUMBER(SEARCH("hollandais",B72)),ISNUMBER(SEARCH("néerlandais",B72)),ISNUMBER(SEARCH("allemand",B72)),ISNUMBER(SEARCH("autrichien",B72)),ISNUMBER(SEARCH("suisse",B72)),ISNUMBER(SEARCH("anglais",B72)),ISNUMBER(SEARCH("britannique",B72)),ISNUMBER(SEARCH("écossais",B72)),ISNUMBER(SEARCH("irlandais",B72)),ISNUMBER(SEARCH("russe",B72)),ISNUMBER(SEARCH("portugais",B72)),ISNUMBER(SEARCH("danois",B72)),ISNUMBER(SEARCH("norvégien",B72)),ISNUMBER(SEARCH("suédois",B72)),ISNUMBER(SEARCH("finlandais",B72)),ISNUMBER(SEARCH("polonais",B72)),ISNUMBER(SEARCH("tchèque",B72)),ISNUMBER(SEARCH("hongrois",B72)),ISNUMBER(SEARCH("grec",B72)),ISNUMBER(SEARCH("byzantin",B72)),ISNUMBER(SEARCH("croate",B72)),ISNUMBER(SEARCH("ukrainien",B72)),ISNUMBER(SEARCH("bulgare",B72)),ISNUMBER(SEARCH("biélorusse",B72)),ISNUMBER(SEARCH("maltais",B72))),"Autres pays d'Europe",IF(OR(ISNUMBER(SEARCH("américain",B72)),ISNUMBER(SEARCH("mexicain",B72)),ISNUMBER(SEARCH("canadien",B72)),ISNUMBER(SEARCH("brésilien",B72)),ISNUMBER(SEARCH("argentin",B72))),"Amérique",IF(OR(ISNUMBER(SEARCH("chinois",B72)),ISNUMBER(SEARCH("japonais",B72)),ISNUMBER(SEARCH("coréen",B72)),ISNUMBER(SEARCH("indien",B72)),ISNUMBER(SEARCH("persan",B72)),ISNUMBER(SEARCH("iranien",B72))),"Asie","(non classée)"))))</f>
        <v/>
      </c>
    </row>
    <row r="73">
      <c r="A73" s="2" t="inlineStr">
        <is>
          <t>ANTON GRAFF</t>
        </is>
      </c>
      <c r="B73" s="2" t="inlineStr">
        <is>
          <t>allemande</t>
        </is>
      </c>
      <c r="C73" s="2" t="inlineStr">
        <is>
          <t>peinture</t>
        </is>
      </c>
      <c r="D73" s="2" t="inlineStr">
        <is>
          <t>18e</t>
        </is>
      </c>
      <c r="U73">
        <f>IF(ISNUMBER(SEARCH("fran",B73)),"France",IF(OR(ISNUMBER(SEARCH("italien",B73)),ISNUMBER(SEARCH("espagn",B73)),ISNUMBER(SEARCH("catalan",B73)),ISNUMBER(SEARCH("flamand",B73)),ISNUMBER(SEARCH("belge",B73)),ISNUMBER(SEARCH("hollandais",B73)),ISNUMBER(SEARCH("néerlandais",B73)),ISNUMBER(SEARCH("allemand",B73)),ISNUMBER(SEARCH("autrichien",B73)),ISNUMBER(SEARCH("suisse",B73)),ISNUMBER(SEARCH("anglais",B73)),ISNUMBER(SEARCH("britannique",B73)),ISNUMBER(SEARCH("écossais",B73)),ISNUMBER(SEARCH("irlandais",B73)),ISNUMBER(SEARCH("russe",B73)),ISNUMBER(SEARCH("portugais",B73)),ISNUMBER(SEARCH("danois",B73)),ISNUMBER(SEARCH("norvégien",B73)),ISNUMBER(SEARCH("suédois",B73)),ISNUMBER(SEARCH("finlandais",B73)),ISNUMBER(SEARCH("polonais",B73)),ISNUMBER(SEARCH("tchèque",B73)),ISNUMBER(SEARCH("hongrois",B73)),ISNUMBER(SEARCH("grec",B73)),ISNUMBER(SEARCH("byzantin",B73)),ISNUMBER(SEARCH("croate",B73)),ISNUMBER(SEARCH("ukrainien",B73)),ISNUMBER(SEARCH("bulgare",B73)),ISNUMBER(SEARCH("biélorusse",B73)),ISNUMBER(SEARCH("maltais",B73))),"Autres pays d'Europe",IF(OR(ISNUMBER(SEARCH("américain",B73)),ISNUMBER(SEARCH("mexicain",B73)),ISNUMBER(SEARCH("canadien",B73)),ISNUMBER(SEARCH("brésilien",B73)),ISNUMBER(SEARCH("argentin",B73))),"Amérique",IF(OR(ISNUMBER(SEARCH("chinois",B73)),ISNUMBER(SEARCH("japonais",B73)),ISNUMBER(SEARCH("coréen",B73)),ISNUMBER(SEARCH("indien",B73)),ISNUMBER(SEARCH("persan",B73)),ISNUMBER(SEARCH("iranien",B73))),"Asie","(non classée)"))))</f>
        <v/>
      </c>
    </row>
    <row r="74">
      <c r="A74" s="2" t="inlineStr">
        <is>
          <t>ANTON RAPHAEL MENGS</t>
        </is>
      </c>
      <c r="B74" s="2" t="inlineStr">
        <is>
          <t>allemande</t>
        </is>
      </c>
      <c r="C74" s="2" t="inlineStr">
        <is>
          <t>peinture</t>
        </is>
      </c>
      <c r="D74" s="2" t="inlineStr">
        <is>
          <t>18e</t>
        </is>
      </c>
      <c r="U74">
        <f>IF(ISNUMBER(SEARCH("fran",B74)),"France",IF(OR(ISNUMBER(SEARCH("italien",B74)),ISNUMBER(SEARCH("espagn",B74)),ISNUMBER(SEARCH("catalan",B74)),ISNUMBER(SEARCH("flamand",B74)),ISNUMBER(SEARCH("belge",B74)),ISNUMBER(SEARCH("hollandais",B74)),ISNUMBER(SEARCH("néerlandais",B74)),ISNUMBER(SEARCH("allemand",B74)),ISNUMBER(SEARCH("autrichien",B74)),ISNUMBER(SEARCH("suisse",B74)),ISNUMBER(SEARCH("anglais",B74)),ISNUMBER(SEARCH("britannique",B74)),ISNUMBER(SEARCH("écossais",B74)),ISNUMBER(SEARCH("irlandais",B74)),ISNUMBER(SEARCH("russe",B74)),ISNUMBER(SEARCH("portugais",B74)),ISNUMBER(SEARCH("danois",B74)),ISNUMBER(SEARCH("norvégien",B74)),ISNUMBER(SEARCH("suédois",B74)),ISNUMBER(SEARCH("finlandais",B74)),ISNUMBER(SEARCH("polonais",B74)),ISNUMBER(SEARCH("tchèque",B74)),ISNUMBER(SEARCH("hongrois",B74)),ISNUMBER(SEARCH("grec",B74)),ISNUMBER(SEARCH("byzantin",B74)),ISNUMBER(SEARCH("croate",B74)),ISNUMBER(SEARCH("ukrainien",B74)),ISNUMBER(SEARCH("bulgare",B74)),ISNUMBER(SEARCH("biélorusse",B74)),ISNUMBER(SEARCH("maltais",B74))),"Autres pays d'Europe",IF(OR(ISNUMBER(SEARCH("américain",B74)),ISNUMBER(SEARCH("mexicain",B74)),ISNUMBER(SEARCH("canadien",B74)),ISNUMBER(SEARCH("brésilien",B74)),ISNUMBER(SEARCH("argentin",B74))),"Amérique",IF(OR(ISNUMBER(SEARCH("chinois",B74)),ISNUMBER(SEARCH("japonais",B74)),ISNUMBER(SEARCH("coréen",B74)),ISNUMBER(SEARCH("indien",B74)),ISNUMBER(SEARCH("persan",B74)),ISNUMBER(SEARCH("iranien",B74))),"Asie","(non classée)"))))</f>
        <v/>
      </c>
    </row>
    <row r="75">
      <c r="A75" s="2" t="inlineStr">
        <is>
          <t>ANTONELLO DA MESSINA</t>
        </is>
      </c>
      <c r="B75" s="2" t="inlineStr">
        <is>
          <t>italienne</t>
        </is>
      </c>
      <c r="C75" s="2" t="inlineStr">
        <is>
          <t>peinture</t>
        </is>
      </c>
      <c r="D75" s="2" t="inlineStr">
        <is>
          <t>15e</t>
        </is>
      </c>
      <c r="U75">
        <f>IF(ISNUMBER(SEARCH("fran",B75)),"France",IF(OR(ISNUMBER(SEARCH("italien",B75)),ISNUMBER(SEARCH("espagn",B75)),ISNUMBER(SEARCH("catalan",B75)),ISNUMBER(SEARCH("flamand",B75)),ISNUMBER(SEARCH("belge",B75)),ISNUMBER(SEARCH("hollandais",B75)),ISNUMBER(SEARCH("néerlandais",B75)),ISNUMBER(SEARCH("allemand",B75)),ISNUMBER(SEARCH("autrichien",B75)),ISNUMBER(SEARCH("suisse",B75)),ISNUMBER(SEARCH("anglais",B75)),ISNUMBER(SEARCH("britannique",B75)),ISNUMBER(SEARCH("écossais",B75)),ISNUMBER(SEARCH("irlandais",B75)),ISNUMBER(SEARCH("russe",B75)),ISNUMBER(SEARCH("portugais",B75)),ISNUMBER(SEARCH("danois",B75)),ISNUMBER(SEARCH("norvégien",B75)),ISNUMBER(SEARCH("suédois",B75)),ISNUMBER(SEARCH("finlandais",B75)),ISNUMBER(SEARCH("polonais",B75)),ISNUMBER(SEARCH("tchèque",B75)),ISNUMBER(SEARCH("hongrois",B75)),ISNUMBER(SEARCH("grec",B75)),ISNUMBER(SEARCH("byzantin",B75)),ISNUMBER(SEARCH("croate",B75)),ISNUMBER(SEARCH("ukrainien",B75)),ISNUMBER(SEARCH("bulgare",B75)),ISNUMBER(SEARCH("biélorusse",B75)),ISNUMBER(SEARCH("maltais",B75))),"Autres pays d'Europe",IF(OR(ISNUMBER(SEARCH("américain",B75)),ISNUMBER(SEARCH("mexicain",B75)),ISNUMBER(SEARCH("canadien",B75)),ISNUMBER(SEARCH("brésilien",B75)),ISNUMBER(SEARCH("argentin",B75))),"Amérique",IF(OR(ISNUMBER(SEARCH("chinois",B75)),ISNUMBER(SEARCH("japonais",B75)),ISNUMBER(SEARCH("coréen",B75)),ISNUMBER(SEARCH("indien",B75)),ISNUMBER(SEARCH("persan",B75)),ISNUMBER(SEARCH("iranien",B75))),"Asie","(non classée)"))))</f>
        <v/>
      </c>
    </row>
    <row r="76">
      <c r="A76" s="2" t="inlineStr">
        <is>
          <t>ANTONIN MERCIÉ</t>
        </is>
      </c>
      <c r="B76" s="2" t="inlineStr">
        <is>
          <t>française</t>
        </is>
      </c>
      <c r="C76" s="2" t="inlineStr">
        <is>
          <t>sculpture</t>
        </is>
      </c>
      <c r="D76" s="2" t="inlineStr">
        <is>
          <t>19e</t>
        </is>
      </c>
      <c r="U76">
        <f>IF(ISNUMBER(SEARCH("fran",B76)),"France",IF(OR(ISNUMBER(SEARCH("italien",B76)),ISNUMBER(SEARCH("espagn",B76)),ISNUMBER(SEARCH("catalan",B76)),ISNUMBER(SEARCH("flamand",B76)),ISNUMBER(SEARCH("belge",B76)),ISNUMBER(SEARCH("hollandais",B76)),ISNUMBER(SEARCH("néerlandais",B76)),ISNUMBER(SEARCH("allemand",B76)),ISNUMBER(SEARCH("autrichien",B76)),ISNUMBER(SEARCH("suisse",B76)),ISNUMBER(SEARCH("anglais",B76)),ISNUMBER(SEARCH("britannique",B76)),ISNUMBER(SEARCH("écossais",B76)),ISNUMBER(SEARCH("irlandais",B76)),ISNUMBER(SEARCH("russe",B76)),ISNUMBER(SEARCH("portugais",B76)),ISNUMBER(SEARCH("danois",B76)),ISNUMBER(SEARCH("norvégien",B76)),ISNUMBER(SEARCH("suédois",B76)),ISNUMBER(SEARCH("finlandais",B76)),ISNUMBER(SEARCH("polonais",B76)),ISNUMBER(SEARCH("tchèque",B76)),ISNUMBER(SEARCH("hongrois",B76)),ISNUMBER(SEARCH("grec",B76)),ISNUMBER(SEARCH("byzantin",B76)),ISNUMBER(SEARCH("croate",B76)),ISNUMBER(SEARCH("ukrainien",B76)),ISNUMBER(SEARCH("bulgare",B76)),ISNUMBER(SEARCH("biélorusse",B76)),ISNUMBER(SEARCH("maltais",B76))),"Autres pays d'Europe",IF(OR(ISNUMBER(SEARCH("américain",B76)),ISNUMBER(SEARCH("mexicain",B76)),ISNUMBER(SEARCH("canadien",B76)),ISNUMBER(SEARCH("brésilien",B76)),ISNUMBER(SEARCH("argentin",B76))),"Amérique",IF(OR(ISNUMBER(SEARCH("chinois",B76)),ISNUMBER(SEARCH("japonais",B76)),ISNUMBER(SEARCH("coréen",B76)),ISNUMBER(SEARCH("indien",B76)),ISNUMBER(SEARCH("persan",B76)),ISNUMBER(SEARCH("iranien",B76))),"Asie","(non classée)"))))</f>
        <v/>
      </c>
    </row>
    <row r="77">
      <c r="A77" s="2" t="inlineStr">
        <is>
          <t>ANTONIO CANOVA</t>
        </is>
      </c>
      <c r="B77" s="2" t="inlineStr">
        <is>
          <t>italienne</t>
        </is>
      </c>
      <c r="C77" s="2" t="inlineStr">
        <is>
          <t>sculpture</t>
        </is>
      </c>
      <c r="D77" s="2" t="inlineStr">
        <is>
          <t>18e</t>
        </is>
      </c>
      <c r="U77">
        <f>IF(ISNUMBER(SEARCH("fran",B77)),"France",IF(OR(ISNUMBER(SEARCH("italien",B77)),ISNUMBER(SEARCH("espagn",B77)),ISNUMBER(SEARCH("catalan",B77)),ISNUMBER(SEARCH("flamand",B77)),ISNUMBER(SEARCH("belge",B77)),ISNUMBER(SEARCH("hollandais",B77)),ISNUMBER(SEARCH("néerlandais",B77)),ISNUMBER(SEARCH("allemand",B77)),ISNUMBER(SEARCH("autrichien",B77)),ISNUMBER(SEARCH("suisse",B77)),ISNUMBER(SEARCH("anglais",B77)),ISNUMBER(SEARCH("britannique",B77)),ISNUMBER(SEARCH("écossais",B77)),ISNUMBER(SEARCH("irlandais",B77)),ISNUMBER(SEARCH("russe",B77)),ISNUMBER(SEARCH("portugais",B77)),ISNUMBER(SEARCH("danois",B77)),ISNUMBER(SEARCH("norvégien",B77)),ISNUMBER(SEARCH("suédois",B77)),ISNUMBER(SEARCH("finlandais",B77)),ISNUMBER(SEARCH("polonais",B77)),ISNUMBER(SEARCH("tchèque",B77)),ISNUMBER(SEARCH("hongrois",B77)),ISNUMBER(SEARCH("grec",B77)),ISNUMBER(SEARCH("byzantin",B77)),ISNUMBER(SEARCH("croate",B77)),ISNUMBER(SEARCH("ukrainien",B77)),ISNUMBER(SEARCH("bulgare",B77)),ISNUMBER(SEARCH("biélorusse",B77)),ISNUMBER(SEARCH("maltais",B77))),"Autres pays d'Europe",IF(OR(ISNUMBER(SEARCH("américain",B77)),ISNUMBER(SEARCH("mexicain",B77)),ISNUMBER(SEARCH("canadien",B77)),ISNUMBER(SEARCH("brésilien",B77)),ISNUMBER(SEARCH("argentin",B77))),"Amérique",IF(OR(ISNUMBER(SEARCH("chinois",B77)),ISNUMBER(SEARCH("japonais",B77)),ISNUMBER(SEARCH("coréen",B77)),ISNUMBER(SEARCH("indien",B77)),ISNUMBER(SEARCH("persan",B77)),ISNUMBER(SEARCH("iranien",B77))),"Asie","(non classée)"))))</f>
        <v/>
      </c>
    </row>
    <row r="78">
      <c r="A78" s="2" t="inlineStr">
        <is>
          <t>ANTONIO CORRADINI</t>
        </is>
      </c>
      <c r="B78" s="2" t="inlineStr">
        <is>
          <t>italienne</t>
        </is>
      </c>
      <c r="C78" s="2" t="inlineStr">
        <is>
          <t>sculpture</t>
        </is>
      </c>
      <c r="D78" s="2" t="inlineStr">
        <is>
          <t>18e</t>
        </is>
      </c>
      <c r="U78">
        <f>IF(ISNUMBER(SEARCH("fran",B78)),"France",IF(OR(ISNUMBER(SEARCH("italien",B78)),ISNUMBER(SEARCH("espagn",B78)),ISNUMBER(SEARCH("catalan",B78)),ISNUMBER(SEARCH("flamand",B78)),ISNUMBER(SEARCH("belge",B78)),ISNUMBER(SEARCH("hollandais",B78)),ISNUMBER(SEARCH("néerlandais",B78)),ISNUMBER(SEARCH("allemand",B78)),ISNUMBER(SEARCH("autrichien",B78)),ISNUMBER(SEARCH("suisse",B78)),ISNUMBER(SEARCH("anglais",B78)),ISNUMBER(SEARCH("britannique",B78)),ISNUMBER(SEARCH("écossais",B78)),ISNUMBER(SEARCH("irlandais",B78)),ISNUMBER(SEARCH("russe",B78)),ISNUMBER(SEARCH("portugais",B78)),ISNUMBER(SEARCH("danois",B78)),ISNUMBER(SEARCH("norvégien",B78)),ISNUMBER(SEARCH("suédois",B78)),ISNUMBER(SEARCH("finlandais",B78)),ISNUMBER(SEARCH("polonais",B78)),ISNUMBER(SEARCH("tchèque",B78)),ISNUMBER(SEARCH("hongrois",B78)),ISNUMBER(SEARCH("grec",B78)),ISNUMBER(SEARCH("byzantin",B78)),ISNUMBER(SEARCH("croate",B78)),ISNUMBER(SEARCH("ukrainien",B78)),ISNUMBER(SEARCH("bulgare",B78)),ISNUMBER(SEARCH("biélorusse",B78)),ISNUMBER(SEARCH("maltais",B78))),"Autres pays d'Europe",IF(OR(ISNUMBER(SEARCH("américain",B78)),ISNUMBER(SEARCH("mexicain",B78)),ISNUMBER(SEARCH("canadien",B78)),ISNUMBER(SEARCH("brésilien",B78)),ISNUMBER(SEARCH("argentin",B78))),"Amérique",IF(OR(ISNUMBER(SEARCH("chinois",B78)),ISNUMBER(SEARCH("japonais",B78)),ISNUMBER(SEARCH("coréen",B78)),ISNUMBER(SEARCH("indien",B78)),ISNUMBER(SEARCH("persan",B78)),ISNUMBER(SEARCH("iranien",B78))),"Asie","(non classée)"))))</f>
        <v/>
      </c>
    </row>
    <row r="79">
      <c r="A79" s="2" t="inlineStr">
        <is>
          <t>ANTONIO CANOVA</t>
        </is>
      </c>
      <c r="B79" s="2" t="inlineStr">
        <is>
          <t>italienne</t>
        </is>
      </c>
      <c r="C79" s="2" t="inlineStr">
        <is>
          <t>sculpture</t>
        </is>
      </c>
      <c r="D79" s="2" t="inlineStr">
        <is>
          <t>19e</t>
        </is>
      </c>
      <c r="U79">
        <f>IF(ISNUMBER(SEARCH("fran",B79)),"France",IF(OR(ISNUMBER(SEARCH("italien",B79)),ISNUMBER(SEARCH("espagn",B79)),ISNUMBER(SEARCH("catalan",B79)),ISNUMBER(SEARCH("flamand",B79)),ISNUMBER(SEARCH("belge",B79)),ISNUMBER(SEARCH("hollandais",B79)),ISNUMBER(SEARCH("néerlandais",B79)),ISNUMBER(SEARCH("allemand",B79)),ISNUMBER(SEARCH("autrichien",B79)),ISNUMBER(SEARCH("suisse",B79)),ISNUMBER(SEARCH("anglais",B79)),ISNUMBER(SEARCH("britannique",B79)),ISNUMBER(SEARCH("écossais",B79)),ISNUMBER(SEARCH("irlandais",B79)),ISNUMBER(SEARCH("russe",B79)),ISNUMBER(SEARCH("portugais",B79)),ISNUMBER(SEARCH("danois",B79)),ISNUMBER(SEARCH("norvégien",B79)),ISNUMBER(SEARCH("suédois",B79)),ISNUMBER(SEARCH("finlandais",B79)),ISNUMBER(SEARCH("polonais",B79)),ISNUMBER(SEARCH("tchèque",B79)),ISNUMBER(SEARCH("hongrois",B79)),ISNUMBER(SEARCH("grec",B79)),ISNUMBER(SEARCH("byzantin",B79)),ISNUMBER(SEARCH("croate",B79)),ISNUMBER(SEARCH("ukrainien",B79)),ISNUMBER(SEARCH("bulgare",B79)),ISNUMBER(SEARCH("biélorusse",B79)),ISNUMBER(SEARCH("maltais",B79))),"Autres pays d'Europe",IF(OR(ISNUMBER(SEARCH("américain",B79)),ISNUMBER(SEARCH("mexicain",B79)),ISNUMBER(SEARCH("canadien",B79)),ISNUMBER(SEARCH("brésilien",B79)),ISNUMBER(SEARCH("argentin",B79))),"Amérique",IF(OR(ISNUMBER(SEARCH("chinois",B79)),ISNUMBER(SEARCH("japonais",B79)),ISNUMBER(SEARCH("coréen",B79)),ISNUMBER(SEARCH("indien",B79)),ISNUMBER(SEARCH("persan",B79)),ISNUMBER(SEARCH("iranien",B79))),"Asie","(non classée)"))))</f>
        <v/>
      </c>
    </row>
    <row r="80">
      <c r="A80" s="2" t="inlineStr">
        <is>
          <t>ANTONIO POLLAIUOLO</t>
        </is>
      </c>
      <c r="B80" s="2" t="inlineStr">
        <is>
          <t>italienne</t>
        </is>
      </c>
      <c r="C80" s="2" t="inlineStr">
        <is>
          <t>peinture</t>
        </is>
      </c>
      <c r="D80" s="2" t="inlineStr">
        <is>
          <t>15e</t>
        </is>
      </c>
      <c r="U80">
        <f>IF(ISNUMBER(SEARCH("fran",B80)),"France",IF(OR(ISNUMBER(SEARCH("italien",B80)),ISNUMBER(SEARCH("espagn",B80)),ISNUMBER(SEARCH("catalan",B80)),ISNUMBER(SEARCH("flamand",B80)),ISNUMBER(SEARCH("belge",B80)),ISNUMBER(SEARCH("hollandais",B80)),ISNUMBER(SEARCH("néerlandais",B80)),ISNUMBER(SEARCH("allemand",B80)),ISNUMBER(SEARCH("autrichien",B80)),ISNUMBER(SEARCH("suisse",B80)),ISNUMBER(SEARCH("anglais",B80)),ISNUMBER(SEARCH("britannique",B80)),ISNUMBER(SEARCH("écossais",B80)),ISNUMBER(SEARCH("irlandais",B80)),ISNUMBER(SEARCH("russe",B80)),ISNUMBER(SEARCH("portugais",B80)),ISNUMBER(SEARCH("danois",B80)),ISNUMBER(SEARCH("norvégien",B80)),ISNUMBER(SEARCH("suédois",B80)),ISNUMBER(SEARCH("finlandais",B80)),ISNUMBER(SEARCH("polonais",B80)),ISNUMBER(SEARCH("tchèque",B80)),ISNUMBER(SEARCH("hongrois",B80)),ISNUMBER(SEARCH("grec",B80)),ISNUMBER(SEARCH("byzantin",B80)),ISNUMBER(SEARCH("croate",B80)),ISNUMBER(SEARCH("ukrainien",B80)),ISNUMBER(SEARCH("bulgare",B80)),ISNUMBER(SEARCH("biélorusse",B80)),ISNUMBER(SEARCH("maltais",B80))),"Autres pays d'Europe",IF(OR(ISNUMBER(SEARCH("américain",B80)),ISNUMBER(SEARCH("mexicain",B80)),ISNUMBER(SEARCH("canadien",B80)),ISNUMBER(SEARCH("brésilien",B80)),ISNUMBER(SEARCH("argentin",B80))),"Amérique",IF(OR(ISNUMBER(SEARCH("chinois",B80)),ISNUMBER(SEARCH("japonais",B80)),ISNUMBER(SEARCH("coréen",B80)),ISNUMBER(SEARCH("indien",B80)),ISNUMBER(SEARCH("persan",B80)),ISNUMBER(SEARCH("iranien",B80))),"Asie","(non classée)"))))</f>
        <v/>
      </c>
    </row>
    <row r="81">
      <c r="A81" s="2" t="inlineStr">
        <is>
          <t>ANTONIO RAGGI</t>
        </is>
      </c>
      <c r="B81" s="2" t="inlineStr">
        <is>
          <t>italienne</t>
        </is>
      </c>
      <c r="C81" s="2" t="inlineStr">
        <is>
          <t>sculpture</t>
        </is>
      </c>
      <c r="D81" s="2" t="inlineStr">
        <is>
          <t>17e</t>
        </is>
      </c>
      <c r="U81">
        <f>IF(ISNUMBER(SEARCH("fran",B81)),"France",IF(OR(ISNUMBER(SEARCH("italien",B81)),ISNUMBER(SEARCH("espagn",B81)),ISNUMBER(SEARCH("catalan",B81)),ISNUMBER(SEARCH("flamand",B81)),ISNUMBER(SEARCH("belge",B81)),ISNUMBER(SEARCH("hollandais",B81)),ISNUMBER(SEARCH("néerlandais",B81)),ISNUMBER(SEARCH("allemand",B81)),ISNUMBER(SEARCH("autrichien",B81)),ISNUMBER(SEARCH("suisse",B81)),ISNUMBER(SEARCH("anglais",B81)),ISNUMBER(SEARCH("britannique",B81)),ISNUMBER(SEARCH("écossais",B81)),ISNUMBER(SEARCH("irlandais",B81)),ISNUMBER(SEARCH("russe",B81)),ISNUMBER(SEARCH("portugais",B81)),ISNUMBER(SEARCH("danois",B81)),ISNUMBER(SEARCH("norvégien",B81)),ISNUMBER(SEARCH("suédois",B81)),ISNUMBER(SEARCH("finlandais",B81)),ISNUMBER(SEARCH("polonais",B81)),ISNUMBER(SEARCH("tchèque",B81)),ISNUMBER(SEARCH("hongrois",B81)),ISNUMBER(SEARCH("grec",B81)),ISNUMBER(SEARCH("byzantin",B81)),ISNUMBER(SEARCH("croate",B81)),ISNUMBER(SEARCH("ukrainien",B81)),ISNUMBER(SEARCH("bulgare",B81)),ISNUMBER(SEARCH("biélorusse",B81)),ISNUMBER(SEARCH("maltais",B81))),"Autres pays d'Europe",IF(OR(ISNUMBER(SEARCH("américain",B81)),ISNUMBER(SEARCH("mexicain",B81)),ISNUMBER(SEARCH("canadien",B81)),ISNUMBER(SEARCH("brésilien",B81)),ISNUMBER(SEARCH("argentin",B81))),"Amérique",IF(OR(ISNUMBER(SEARCH("chinois",B81)),ISNUMBER(SEARCH("japonais",B81)),ISNUMBER(SEARCH("coréen",B81)),ISNUMBER(SEARCH("indien",B81)),ISNUMBER(SEARCH("persan",B81)),ISNUMBER(SEARCH("iranien",B81))),"Asie","(non classée)"))))</f>
        <v/>
      </c>
    </row>
    <row r="82">
      <c r="A82" s="2" t="inlineStr">
        <is>
          <t>ANTONIO ROSSELLINO</t>
        </is>
      </c>
      <c r="B82" s="2" t="inlineStr">
        <is>
          <t>italienne</t>
        </is>
      </c>
      <c r="C82" s="2" t="inlineStr">
        <is>
          <t>sculpture</t>
        </is>
      </c>
      <c r="D82" s="2" t="inlineStr">
        <is>
          <t>15e</t>
        </is>
      </c>
      <c r="U82">
        <f>IF(ISNUMBER(SEARCH("fran",B82)),"France",IF(OR(ISNUMBER(SEARCH("italien",B82)),ISNUMBER(SEARCH("espagn",B82)),ISNUMBER(SEARCH("catalan",B82)),ISNUMBER(SEARCH("flamand",B82)),ISNUMBER(SEARCH("belge",B82)),ISNUMBER(SEARCH("hollandais",B82)),ISNUMBER(SEARCH("néerlandais",B82)),ISNUMBER(SEARCH("allemand",B82)),ISNUMBER(SEARCH("autrichien",B82)),ISNUMBER(SEARCH("suisse",B82)),ISNUMBER(SEARCH("anglais",B82)),ISNUMBER(SEARCH("britannique",B82)),ISNUMBER(SEARCH("écossais",B82)),ISNUMBER(SEARCH("irlandais",B82)),ISNUMBER(SEARCH("russe",B82)),ISNUMBER(SEARCH("portugais",B82)),ISNUMBER(SEARCH("danois",B82)),ISNUMBER(SEARCH("norvégien",B82)),ISNUMBER(SEARCH("suédois",B82)),ISNUMBER(SEARCH("finlandais",B82)),ISNUMBER(SEARCH("polonais",B82)),ISNUMBER(SEARCH("tchèque",B82)),ISNUMBER(SEARCH("hongrois",B82)),ISNUMBER(SEARCH("grec",B82)),ISNUMBER(SEARCH("byzantin",B82)),ISNUMBER(SEARCH("croate",B82)),ISNUMBER(SEARCH("ukrainien",B82)),ISNUMBER(SEARCH("bulgare",B82)),ISNUMBER(SEARCH("biélorusse",B82)),ISNUMBER(SEARCH("maltais",B82))),"Autres pays d'Europe",IF(OR(ISNUMBER(SEARCH("américain",B82)),ISNUMBER(SEARCH("mexicain",B82)),ISNUMBER(SEARCH("canadien",B82)),ISNUMBER(SEARCH("brésilien",B82)),ISNUMBER(SEARCH("argentin",B82))),"Amérique",IF(OR(ISNUMBER(SEARCH("chinois",B82)),ISNUMBER(SEARCH("japonais",B82)),ISNUMBER(SEARCH("coréen",B82)),ISNUMBER(SEARCH("indien",B82)),ISNUMBER(SEARCH("persan",B82)),ISNUMBER(SEARCH("iranien",B82))),"Asie","(non classée)"))))</f>
        <v/>
      </c>
    </row>
    <row r="83">
      <c r="A83" s="2" t="inlineStr">
        <is>
          <t>ANTONIO VIVARINI</t>
        </is>
      </c>
      <c r="B83" s="2" t="inlineStr">
        <is>
          <t>italienne</t>
        </is>
      </c>
      <c r="C83" s="2" t="inlineStr">
        <is>
          <t>peinture</t>
        </is>
      </c>
      <c r="D83" s="2" t="inlineStr">
        <is>
          <t>15e</t>
        </is>
      </c>
      <c r="U83">
        <f>IF(ISNUMBER(SEARCH("fran",B83)),"France",IF(OR(ISNUMBER(SEARCH("italien",B83)),ISNUMBER(SEARCH("espagn",B83)),ISNUMBER(SEARCH("catalan",B83)),ISNUMBER(SEARCH("flamand",B83)),ISNUMBER(SEARCH("belge",B83)),ISNUMBER(SEARCH("hollandais",B83)),ISNUMBER(SEARCH("néerlandais",B83)),ISNUMBER(SEARCH("allemand",B83)),ISNUMBER(SEARCH("autrichien",B83)),ISNUMBER(SEARCH("suisse",B83)),ISNUMBER(SEARCH("anglais",B83)),ISNUMBER(SEARCH("britannique",B83)),ISNUMBER(SEARCH("écossais",B83)),ISNUMBER(SEARCH("irlandais",B83)),ISNUMBER(SEARCH("russe",B83)),ISNUMBER(SEARCH("portugais",B83)),ISNUMBER(SEARCH("danois",B83)),ISNUMBER(SEARCH("norvégien",B83)),ISNUMBER(SEARCH("suédois",B83)),ISNUMBER(SEARCH("finlandais",B83)),ISNUMBER(SEARCH("polonais",B83)),ISNUMBER(SEARCH("tchèque",B83)),ISNUMBER(SEARCH("hongrois",B83)),ISNUMBER(SEARCH("grec",B83)),ISNUMBER(SEARCH("byzantin",B83)),ISNUMBER(SEARCH("croate",B83)),ISNUMBER(SEARCH("ukrainien",B83)),ISNUMBER(SEARCH("bulgare",B83)),ISNUMBER(SEARCH("biélorusse",B83)),ISNUMBER(SEARCH("maltais",B83))),"Autres pays d'Europe",IF(OR(ISNUMBER(SEARCH("américain",B83)),ISNUMBER(SEARCH("mexicain",B83)),ISNUMBER(SEARCH("canadien",B83)),ISNUMBER(SEARCH("brésilien",B83)),ISNUMBER(SEARCH("argentin",B83))),"Amérique",IF(OR(ISNUMBER(SEARCH("chinois",B83)),ISNUMBER(SEARCH("japonais",B83)),ISNUMBER(SEARCH("coréen",B83)),ISNUMBER(SEARCH("indien",B83)),ISNUMBER(SEARCH("persan",B83)),ISNUMBER(SEARCH("iranien",B83))),"Asie","(non classée)"))))</f>
        <v/>
      </c>
    </row>
    <row r="84">
      <c r="A84" s="2" t="inlineStr">
        <is>
          <t>ANTONIO DA CORRÈGE</t>
        </is>
      </c>
      <c r="B84" s="2" t="inlineStr">
        <is>
          <t>italienne</t>
        </is>
      </c>
      <c r="C84" s="2" t="inlineStr">
        <is>
          <t>peinture</t>
        </is>
      </c>
      <c r="D84" s="2" t="inlineStr">
        <is>
          <t>16e</t>
        </is>
      </c>
      <c r="U84">
        <f>IF(ISNUMBER(SEARCH("fran",B84)),"France",IF(OR(ISNUMBER(SEARCH("italien",B84)),ISNUMBER(SEARCH("espagn",B84)),ISNUMBER(SEARCH("catalan",B84)),ISNUMBER(SEARCH("flamand",B84)),ISNUMBER(SEARCH("belge",B84)),ISNUMBER(SEARCH("hollandais",B84)),ISNUMBER(SEARCH("néerlandais",B84)),ISNUMBER(SEARCH("allemand",B84)),ISNUMBER(SEARCH("autrichien",B84)),ISNUMBER(SEARCH("suisse",B84)),ISNUMBER(SEARCH("anglais",B84)),ISNUMBER(SEARCH("britannique",B84)),ISNUMBER(SEARCH("écossais",B84)),ISNUMBER(SEARCH("irlandais",B84)),ISNUMBER(SEARCH("russe",B84)),ISNUMBER(SEARCH("portugais",B84)),ISNUMBER(SEARCH("danois",B84)),ISNUMBER(SEARCH("norvégien",B84)),ISNUMBER(SEARCH("suédois",B84)),ISNUMBER(SEARCH("finlandais",B84)),ISNUMBER(SEARCH("polonais",B84)),ISNUMBER(SEARCH("tchèque",B84)),ISNUMBER(SEARCH("hongrois",B84)),ISNUMBER(SEARCH("grec",B84)),ISNUMBER(SEARCH("byzantin",B84)),ISNUMBER(SEARCH("croate",B84)),ISNUMBER(SEARCH("ukrainien",B84)),ISNUMBER(SEARCH("bulgare",B84)),ISNUMBER(SEARCH("biélorusse",B84)),ISNUMBER(SEARCH("maltais",B84))),"Autres pays d'Europe",IF(OR(ISNUMBER(SEARCH("américain",B84)),ISNUMBER(SEARCH("mexicain",B84)),ISNUMBER(SEARCH("canadien",B84)),ISNUMBER(SEARCH("brésilien",B84)),ISNUMBER(SEARCH("argentin",B84))),"Amérique",IF(OR(ISNUMBER(SEARCH("chinois",B84)),ISNUMBER(SEARCH("japonais",B84)),ISNUMBER(SEARCH("coréen",B84)),ISNUMBER(SEARCH("indien",B84)),ISNUMBER(SEARCH("persan",B84)),ISNUMBER(SEARCH("iranien",B84))),"Asie","(non classée)"))))</f>
        <v/>
      </c>
    </row>
    <row r="85">
      <c r="A85" s="2" t="inlineStr">
        <is>
          <t>ANTONIO DEL POLLAIOLO</t>
        </is>
      </c>
      <c r="B85" s="2" t="inlineStr">
        <is>
          <t>italienne</t>
        </is>
      </c>
      <c r="C85" s="2" t="inlineStr">
        <is>
          <t>sculpture</t>
        </is>
      </c>
      <c r="D85" s="2" t="inlineStr">
        <is>
          <t>15e</t>
        </is>
      </c>
      <c r="U85">
        <f>IF(ISNUMBER(SEARCH("fran",B85)),"France",IF(OR(ISNUMBER(SEARCH("italien",B85)),ISNUMBER(SEARCH("espagn",B85)),ISNUMBER(SEARCH("catalan",B85)),ISNUMBER(SEARCH("flamand",B85)),ISNUMBER(SEARCH("belge",B85)),ISNUMBER(SEARCH("hollandais",B85)),ISNUMBER(SEARCH("néerlandais",B85)),ISNUMBER(SEARCH("allemand",B85)),ISNUMBER(SEARCH("autrichien",B85)),ISNUMBER(SEARCH("suisse",B85)),ISNUMBER(SEARCH("anglais",B85)),ISNUMBER(SEARCH("britannique",B85)),ISNUMBER(SEARCH("écossais",B85)),ISNUMBER(SEARCH("irlandais",B85)),ISNUMBER(SEARCH("russe",B85)),ISNUMBER(SEARCH("portugais",B85)),ISNUMBER(SEARCH("danois",B85)),ISNUMBER(SEARCH("norvégien",B85)),ISNUMBER(SEARCH("suédois",B85)),ISNUMBER(SEARCH("finlandais",B85)),ISNUMBER(SEARCH("polonais",B85)),ISNUMBER(SEARCH("tchèque",B85)),ISNUMBER(SEARCH("hongrois",B85)),ISNUMBER(SEARCH("grec",B85)),ISNUMBER(SEARCH("byzantin",B85)),ISNUMBER(SEARCH("croate",B85)),ISNUMBER(SEARCH("ukrainien",B85)),ISNUMBER(SEARCH("bulgare",B85)),ISNUMBER(SEARCH("biélorusse",B85)),ISNUMBER(SEARCH("maltais",B85))),"Autres pays d'Europe",IF(OR(ISNUMBER(SEARCH("américain",B85)),ISNUMBER(SEARCH("mexicain",B85)),ISNUMBER(SEARCH("canadien",B85)),ISNUMBER(SEARCH("brésilien",B85)),ISNUMBER(SEARCH("argentin",B85))),"Amérique",IF(OR(ISNUMBER(SEARCH("chinois",B85)),ISNUMBER(SEARCH("japonais",B85)),ISNUMBER(SEARCH("coréen",B85)),ISNUMBER(SEARCH("indien",B85)),ISNUMBER(SEARCH("persan",B85)),ISNUMBER(SEARCH("iranien",B85))),"Asie","(non classée)"))))</f>
        <v/>
      </c>
    </row>
    <row r="86">
      <c r="A86" s="2" t="inlineStr">
        <is>
          <t>ANTONIS MOR</t>
        </is>
      </c>
      <c r="B86" s="2" t="inlineStr">
        <is>
          <t>flamande (Belgique)</t>
        </is>
      </c>
      <c r="C86" s="2" t="inlineStr">
        <is>
          <t>peinture</t>
        </is>
      </c>
      <c r="D86" s="2" t="inlineStr">
        <is>
          <t>16e</t>
        </is>
      </c>
      <c r="U86">
        <f>IF(ISNUMBER(SEARCH("fran",B86)),"France",IF(OR(ISNUMBER(SEARCH("italien",B86)),ISNUMBER(SEARCH("espagn",B86)),ISNUMBER(SEARCH("catalan",B86)),ISNUMBER(SEARCH("flamand",B86)),ISNUMBER(SEARCH("belge",B86)),ISNUMBER(SEARCH("hollandais",B86)),ISNUMBER(SEARCH("néerlandais",B86)),ISNUMBER(SEARCH("allemand",B86)),ISNUMBER(SEARCH("autrichien",B86)),ISNUMBER(SEARCH("suisse",B86)),ISNUMBER(SEARCH("anglais",B86)),ISNUMBER(SEARCH("britannique",B86)),ISNUMBER(SEARCH("écossais",B86)),ISNUMBER(SEARCH("irlandais",B86)),ISNUMBER(SEARCH("russe",B86)),ISNUMBER(SEARCH("portugais",B86)),ISNUMBER(SEARCH("danois",B86)),ISNUMBER(SEARCH("norvégien",B86)),ISNUMBER(SEARCH("suédois",B86)),ISNUMBER(SEARCH("finlandais",B86)),ISNUMBER(SEARCH("polonais",B86)),ISNUMBER(SEARCH("tchèque",B86)),ISNUMBER(SEARCH("hongrois",B86)),ISNUMBER(SEARCH("grec",B86)),ISNUMBER(SEARCH("byzantin",B86)),ISNUMBER(SEARCH("croate",B86)),ISNUMBER(SEARCH("ukrainien",B86)),ISNUMBER(SEARCH("bulgare",B86)),ISNUMBER(SEARCH("biélorusse",B86)),ISNUMBER(SEARCH("maltais",B86))),"Autres pays d'Europe",IF(OR(ISNUMBER(SEARCH("américain",B86)),ISNUMBER(SEARCH("mexicain",B86)),ISNUMBER(SEARCH("canadien",B86)),ISNUMBER(SEARCH("brésilien",B86)),ISNUMBER(SEARCH("argentin",B86))),"Amérique",IF(OR(ISNUMBER(SEARCH("chinois",B86)),ISNUMBER(SEARCH("japonais",B86)),ISNUMBER(SEARCH("coréen",B86)),ISNUMBER(SEARCH("indien",B86)),ISNUMBER(SEARCH("persan",B86)),ISNUMBER(SEARCH("iranien",B86))),"Asie","(non classée)"))))</f>
        <v/>
      </c>
    </row>
    <row r="87">
      <c r="A87" s="2" t="inlineStr">
        <is>
          <t>ARISTIDE MAILLOL</t>
        </is>
      </c>
      <c r="B87" s="2" t="inlineStr">
        <is>
          <t>française</t>
        </is>
      </c>
      <c r="C87" s="2" t="inlineStr">
        <is>
          <t>sculpture</t>
        </is>
      </c>
      <c r="D87" s="2" t="inlineStr">
        <is>
          <t>20e</t>
        </is>
      </c>
      <c r="U87">
        <f>IF(ISNUMBER(SEARCH("fran",B87)),"France",IF(OR(ISNUMBER(SEARCH("italien",B87)),ISNUMBER(SEARCH("espagn",B87)),ISNUMBER(SEARCH("catalan",B87)),ISNUMBER(SEARCH("flamand",B87)),ISNUMBER(SEARCH("belge",B87)),ISNUMBER(SEARCH("hollandais",B87)),ISNUMBER(SEARCH("néerlandais",B87)),ISNUMBER(SEARCH("allemand",B87)),ISNUMBER(SEARCH("autrichien",B87)),ISNUMBER(SEARCH("suisse",B87)),ISNUMBER(SEARCH("anglais",B87)),ISNUMBER(SEARCH("britannique",B87)),ISNUMBER(SEARCH("écossais",B87)),ISNUMBER(SEARCH("irlandais",B87)),ISNUMBER(SEARCH("russe",B87)),ISNUMBER(SEARCH("portugais",B87)),ISNUMBER(SEARCH("danois",B87)),ISNUMBER(SEARCH("norvégien",B87)),ISNUMBER(SEARCH("suédois",B87)),ISNUMBER(SEARCH("finlandais",B87)),ISNUMBER(SEARCH("polonais",B87)),ISNUMBER(SEARCH("tchèque",B87)),ISNUMBER(SEARCH("hongrois",B87)),ISNUMBER(SEARCH("grec",B87)),ISNUMBER(SEARCH("byzantin",B87)),ISNUMBER(SEARCH("croate",B87)),ISNUMBER(SEARCH("ukrainien",B87)),ISNUMBER(SEARCH("bulgare",B87)),ISNUMBER(SEARCH("biélorusse",B87)),ISNUMBER(SEARCH("maltais",B87))),"Autres pays d'Europe",IF(OR(ISNUMBER(SEARCH("américain",B87)),ISNUMBER(SEARCH("mexicain",B87)),ISNUMBER(SEARCH("canadien",B87)),ISNUMBER(SEARCH("brésilien",B87)),ISNUMBER(SEARCH("argentin",B87))),"Amérique",IF(OR(ISNUMBER(SEARCH("chinois",B87)),ISNUMBER(SEARCH("japonais",B87)),ISNUMBER(SEARCH("coréen",B87)),ISNUMBER(SEARCH("indien",B87)),ISNUMBER(SEARCH("persan",B87)),ISNUMBER(SEARCH("iranien",B87))),"Asie","(non classée)"))))</f>
        <v/>
      </c>
    </row>
    <row r="88">
      <c r="A88" s="2" t="inlineStr">
        <is>
          <t>ARNOLD BÖCKLIN</t>
        </is>
      </c>
      <c r="B88" s="2" t="inlineStr">
        <is>
          <t>suisse</t>
        </is>
      </c>
      <c r="C88" s="2" t="inlineStr">
        <is>
          <t>peinture</t>
        </is>
      </c>
      <c r="D88" s="2" t="inlineStr">
        <is>
          <t>19e</t>
        </is>
      </c>
      <c r="U88">
        <f>IF(ISNUMBER(SEARCH("fran",B88)),"France",IF(OR(ISNUMBER(SEARCH("italien",B88)),ISNUMBER(SEARCH("espagn",B88)),ISNUMBER(SEARCH("catalan",B88)),ISNUMBER(SEARCH("flamand",B88)),ISNUMBER(SEARCH("belge",B88)),ISNUMBER(SEARCH("hollandais",B88)),ISNUMBER(SEARCH("néerlandais",B88)),ISNUMBER(SEARCH("allemand",B88)),ISNUMBER(SEARCH("autrichien",B88)),ISNUMBER(SEARCH("suisse",B88)),ISNUMBER(SEARCH("anglais",B88)),ISNUMBER(SEARCH("britannique",B88)),ISNUMBER(SEARCH("écossais",B88)),ISNUMBER(SEARCH("irlandais",B88)),ISNUMBER(SEARCH("russe",B88)),ISNUMBER(SEARCH("portugais",B88)),ISNUMBER(SEARCH("danois",B88)),ISNUMBER(SEARCH("norvégien",B88)),ISNUMBER(SEARCH("suédois",B88)),ISNUMBER(SEARCH("finlandais",B88)),ISNUMBER(SEARCH("polonais",B88)),ISNUMBER(SEARCH("tchèque",B88)),ISNUMBER(SEARCH("hongrois",B88)),ISNUMBER(SEARCH("grec",B88)),ISNUMBER(SEARCH("byzantin",B88)),ISNUMBER(SEARCH("croate",B88)),ISNUMBER(SEARCH("ukrainien",B88)),ISNUMBER(SEARCH("bulgare",B88)),ISNUMBER(SEARCH("biélorusse",B88)),ISNUMBER(SEARCH("maltais",B88))),"Autres pays d'Europe",IF(OR(ISNUMBER(SEARCH("américain",B88)),ISNUMBER(SEARCH("mexicain",B88)),ISNUMBER(SEARCH("canadien",B88)),ISNUMBER(SEARCH("brésilien",B88)),ISNUMBER(SEARCH("argentin",B88))),"Amérique",IF(OR(ISNUMBER(SEARCH("chinois",B88)),ISNUMBER(SEARCH("japonais",B88)),ISNUMBER(SEARCH("coréen",B88)),ISNUMBER(SEARCH("indien",B88)),ISNUMBER(SEARCH("persan",B88)),ISNUMBER(SEARCH("iranien",B88))),"Asie","(non classée)"))))</f>
        <v/>
      </c>
    </row>
    <row r="89">
      <c r="A89" s="2" t="inlineStr">
        <is>
          <t>ARTEMISIA GENTILESCHI</t>
        </is>
      </c>
      <c r="B89" s="2" t="inlineStr">
        <is>
          <t>italienne</t>
        </is>
      </c>
      <c r="C89" s="2" t="inlineStr">
        <is>
          <t>peinture</t>
        </is>
      </c>
      <c r="D89" s="2" t="inlineStr">
        <is>
          <t>17e</t>
        </is>
      </c>
      <c r="U89">
        <f>IF(ISNUMBER(SEARCH("fran",B89)),"France",IF(OR(ISNUMBER(SEARCH("italien",B89)),ISNUMBER(SEARCH("espagn",B89)),ISNUMBER(SEARCH("catalan",B89)),ISNUMBER(SEARCH("flamand",B89)),ISNUMBER(SEARCH("belge",B89)),ISNUMBER(SEARCH("hollandais",B89)),ISNUMBER(SEARCH("néerlandais",B89)),ISNUMBER(SEARCH("allemand",B89)),ISNUMBER(SEARCH("autrichien",B89)),ISNUMBER(SEARCH("suisse",B89)),ISNUMBER(SEARCH("anglais",B89)),ISNUMBER(SEARCH("britannique",B89)),ISNUMBER(SEARCH("écossais",B89)),ISNUMBER(SEARCH("irlandais",B89)),ISNUMBER(SEARCH("russe",B89)),ISNUMBER(SEARCH("portugais",B89)),ISNUMBER(SEARCH("danois",B89)),ISNUMBER(SEARCH("norvégien",B89)),ISNUMBER(SEARCH("suédois",B89)),ISNUMBER(SEARCH("finlandais",B89)),ISNUMBER(SEARCH("polonais",B89)),ISNUMBER(SEARCH("tchèque",B89)),ISNUMBER(SEARCH("hongrois",B89)),ISNUMBER(SEARCH("grec",B89)),ISNUMBER(SEARCH("byzantin",B89)),ISNUMBER(SEARCH("croate",B89)),ISNUMBER(SEARCH("ukrainien",B89)),ISNUMBER(SEARCH("bulgare",B89)),ISNUMBER(SEARCH("biélorusse",B89)),ISNUMBER(SEARCH("maltais",B89))),"Autres pays d'Europe",IF(OR(ISNUMBER(SEARCH("américain",B89)),ISNUMBER(SEARCH("mexicain",B89)),ISNUMBER(SEARCH("canadien",B89)),ISNUMBER(SEARCH("brésilien",B89)),ISNUMBER(SEARCH("argentin",B89))),"Amérique",IF(OR(ISNUMBER(SEARCH("chinois",B89)),ISNUMBER(SEARCH("japonais",B89)),ISNUMBER(SEARCH("coréen",B89)),ISNUMBER(SEARCH("indien",B89)),ISNUMBER(SEARCH("persan",B89)),ISNUMBER(SEARCH("iranien",B89))),"Asie","(non classée)"))))</f>
        <v/>
      </c>
    </row>
    <row r="90">
      <c r="A90" s="2" t="inlineStr">
        <is>
          <t>ARTHUR DOVE</t>
        </is>
      </c>
      <c r="B90" s="2" t="inlineStr">
        <is>
          <t>américaine</t>
        </is>
      </c>
      <c r="C90" s="2" t="inlineStr">
        <is>
          <t>peinture</t>
        </is>
      </c>
      <c r="D90" s="2" t="inlineStr">
        <is>
          <t>20e</t>
        </is>
      </c>
      <c r="U90">
        <f>IF(ISNUMBER(SEARCH("fran",B90)),"France",IF(OR(ISNUMBER(SEARCH("italien",B90)),ISNUMBER(SEARCH("espagn",B90)),ISNUMBER(SEARCH("catalan",B90)),ISNUMBER(SEARCH("flamand",B90)),ISNUMBER(SEARCH("belge",B90)),ISNUMBER(SEARCH("hollandais",B90)),ISNUMBER(SEARCH("néerlandais",B90)),ISNUMBER(SEARCH("allemand",B90)),ISNUMBER(SEARCH("autrichien",B90)),ISNUMBER(SEARCH("suisse",B90)),ISNUMBER(SEARCH("anglais",B90)),ISNUMBER(SEARCH("britannique",B90)),ISNUMBER(SEARCH("écossais",B90)),ISNUMBER(SEARCH("irlandais",B90)),ISNUMBER(SEARCH("russe",B90)),ISNUMBER(SEARCH("portugais",B90)),ISNUMBER(SEARCH("danois",B90)),ISNUMBER(SEARCH("norvégien",B90)),ISNUMBER(SEARCH("suédois",B90)),ISNUMBER(SEARCH("finlandais",B90)),ISNUMBER(SEARCH("polonais",B90)),ISNUMBER(SEARCH("tchèque",B90)),ISNUMBER(SEARCH("hongrois",B90)),ISNUMBER(SEARCH("grec",B90)),ISNUMBER(SEARCH("byzantin",B90)),ISNUMBER(SEARCH("croate",B90)),ISNUMBER(SEARCH("ukrainien",B90)),ISNUMBER(SEARCH("bulgare",B90)),ISNUMBER(SEARCH("biélorusse",B90)),ISNUMBER(SEARCH("maltais",B90))),"Autres pays d'Europe",IF(OR(ISNUMBER(SEARCH("américain",B90)),ISNUMBER(SEARCH("mexicain",B90)),ISNUMBER(SEARCH("canadien",B90)),ISNUMBER(SEARCH("brésilien",B90)),ISNUMBER(SEARCH("argentin",B90))),"Amérique",IF(OR(ISNUMBER(SEARCH("chinois",B90)),ISNUMBER(SEARCH("japonais",B90)),ISNUMBER(SEARCH("coréen",B90)),ISNUMBER(SEARCH("indien",B90)),ISNUMBER(SEARCH("persan",B90)),ISNUMBER(SEARCH("iranien",B90))),"Asie","(non classée)"))))</f>
        <v/>
      </c>
    </row>
    <row r="91">
      <c r="A91" s="2" t="inlineStr">
        <is>
          <t>ARTUS QUELLINUS L'ANCIEN</t>
        </is>
      </c>
      <c r="B91" s="2" t="inlineStr">
        <is>
          <t>flamande (Belgique)</t>
        </is>
      </c>
      <c r="C91" s="2" t="inlineStr">
        <is>
          <t>sculpture</t>
        </is>
      </c>
      <c r="D91" s="2" t="inlineStr">
        <is>
          <t>17e</t>
        </is>
      </c>
      <c r="U91">
        <f>IF(ISNUMBER(SEARCH("fran",B91)),"France",IF(OR(ISNUMBER(SEARCH("italien",B91)),ISNUMBER(SEARCH("espagn",B91)),ISNUMBER(SEARCH("catalan",B91)),ISNUMBER(SEARCH("flamand",B91)),ISNUMBER(SEARCH("belge",B91)),ISNUMBER(SEARCH("hollandais",B91)),ISNUMBER(SEARCH("néerlandais",B91)),ISNUMBER(SEARCH("allemand",B91)),ISNUMBER(SEARCH("autrichien",B91)),ISNUMBER(SEARCH("suisse",B91)),ISNUMBER(SEARCH("anglais",B91)),ISNUMBER(SEARCH("britannique",B91)),ISNUMBER(SEARCH("écossais",B91)),ISNUMBER(SEARCH("irlandais",B91)),ISNUMBER(SEARCH("russe",B91)),ISNUMBER(SEARCH("portugais",B91)),ISNUMBER(SEARCH("danois",B91)),ISNUMBER(SEARCH("norvégien",B91)),ISNUMBER(SEARCH("suédois",B91)),ISNUMBER(SEARCH("finlandais",B91)),ISNUMBER(SEARCH("polonais",B91)),ISNUMBER(SEARCH("tchèque",B91)),ISNUMBER(SEARCH("hongrois",B91)),ISNUMBER(SEARCH("grec",B91)),ISNUMBER(SEARCH("byzantin",B91)),ISNUMBER(SEARCH("croate",B91)),ISNUMBER(SEARCH("ukrainien",B91)),ISNUMBER(SEARCH("bulgare",B91)),ISNUMBER(SEARCH("biélorusse",B91)),ISNUMBER(SEARCH("maltais",B91))),"Autres pays d'Europe",IF(OR(ISNUMBER(SEARCH("américain",B91)),ISNUMBER(SEARCH("mexicain",B91)),ISNUMBER(SEARCH("canadien",B91)),ISNUMBER(SEARCH("brésilien",B91)),ISNUMBER(SEARCH("argentin",B91))),"Amérique",IF(OR(ISNUMBER(SEARCH("chinois",B91)),ISNUMBER(SEARCH("japonais",B91)),ISNUMBER(SEARCH("coréen",B91)),ISNUMBER(SEARCH("indien",B91)),ISNUMBER(SEARCH("persan",B91)),ISNUMBER(SEARCH("iranien",B91))),"Asie","(non classée)"))))</f>
        <v/>
      </c>
    </row>
    <row r="92">
      <c r="A92" s="2" t="inlineStr">
        <is>
          <t>AUGUST MACKE</t>
        </is>
      </c>
      <c r="B92" s="2" t="inlineStr">
        <is>
          <t>allemande</t>
        </is>
      </c>
      <c r="C92" s="2" t="inlineStr">
        <is>
          <t>peinture</t>
        </is>
      </c>
      <c r="D92" s="2" t="inlineStr">
        <is>
          <t>20e</t>
        </is>
      </c>
      <c r="U92">
        <f>IF(ISNUMBER(SEARCH("fran",B92)),"France",IF(OR(ISNUMBER(SEARCH("italien",B92)),ISNUMBER(SEARCH("espagn",B92)),ISNUMBER(SEARCH("catalan",B92)),ISNUMBER(SEARCH("flamand",B92)),ISNUMBER(SEARCH("belge",B92)),ISNUMBER(SEARCH("hollandais",B92)),ISNUMBER(SEARCH("néerlandais",B92)),ISNUMBER(SEARCH("allemand",B92)),ISNUMBER(SEARCH("autrichien",B92)),ISNUMBER(SEARCH("suisse",B92)),ISNUMBER(SEARCH("anglais",B92)),ISNUMBER(SEARCH("britannique",B92)),ISNUMBER(SEARCH("écossais",B92)),ISNUMBER(SEARCH("irlandais",B92)),ISNUMBER(SEARCH("russe",B92)),ISNUMBER(SEARCH("portugais",B92)),ISNUMBER(SEARCH("danois",B92)),ISNUMBER(SEARCH("norvégien",B92)),ISNUMBER(SEARCH("suédois",B92)),ISNUMBER(SEARCH("finlandais",B92)),ISNUMBER(SEARCH("polonais",B92)),ISNUMBER(SEARCH("tchèque",B92)),ISNUMBER(SEARCH("hongrois",B92)),ISNUMBER(SEARCH("grec",B92)),ISNUMBER(SEARCH("byzantin",B92)),ISNUMBER(SEARCH("croate",B92)),ISNUMBER(SEARCH("ukrainien",B92)),ISNUMBER(SEARCH("bulgare",B92)),ISNUMBER(SEARCH("biélorusse",B92)),ISNUMBER(SEARCH("maltais",B92))),"Autres pays d'Europe",IF(OR(ISNUMBER(SEARCH("américain",B92)),ISNUMBER(SEARCH("mexicain",B92)),ISNUMBER(SEARCH("canadien",B92)),ISNUMBER(SEARCH("brésilien",B92)),ISNUMBER(SEARCH("argentin",B92))),"Amérique",IF(OR(ISNUMBER(SEARCH("chinois",B92)),ISNUMBER(SEARCH("japonais",B92)),ISNUMBER(SEARCH("coréen",B92)),ISNUMBER(SEARCH("indien",B92)),ISNUMBER(SEARCH("persan",B92)),ISNUMBER(SEARCH("iranien",B92))),"Asie","(non classée)"))))</f>
        <v/>
      </c>
    </row>
    <row r="93">
      <c r="A93" s="2" t="inlineStr">
        <is>
          <t>AUGUSTE BARTHOLDI</t>
        </is>
      </c>
      <c r="B93" s="2" t="inlineStr">
        <is>
          <t>française</t>
        </is>
      </c>
      <c r="C93" s="2" t="inlineStr">
        <is>
          <t>sculpture</t>
        </is>
      </c>
      <c r="D93" s="2" t="inlineStr">
        <is>
          <t>19e</t>
        </is>
      </c>
      <c r="U93">
        <f>IF(ISNUMBER(SEARCH("fran",B93)),"France",IF(OR(ISNUMBER(SEARCH("italien",B93)),ISNUMBER(SEARCH("espagn",B93)),ISNUMBER(SEARCH("catalan",B93)),ISNUMBER(SEARCH("flamand",B93)),ISNUMBER(SEARCH("belge",B93)),ISNUMBER(SEARCH("hollandais",B93)),ISNUMBER(SEARCH("néerlandais",B93)),ISNUMBER(SEARCH("allemand",B93)),ISNUMBER(SEARCH("autrichien",B93)),ISNUMBER(SEARCH("suisse",B93)),ISNUMBER(SEARCH("anglais",B93)),ISNUMBER(SEARCH("britannique",B93)),ISNUMBER(SEARCH("écossais",B93)),ISNUMBER(SEARCH("irlandais",B93)),ISNUMBER(SEARCH("russe",B93)),ISNUMBER(SEARCH("portugais",B93)),ISNUMBER(SEARCH("danois",B93)),ISNUMBER(SEARCH("norvégien",B93)),ISNUMBER(SEARCH("suédois",B93)),ISNUMBER(SEARCH("finlandais",B93)),ISNUMBER(SEARCH("polonais",B93)),ISNUMBER(SEARCH("tchèque",B93)),ISNUMBER(SEARCH("hongrois",B93)),ISNUMBER(SEARCH("grec",B93)),ISNUMBER(SEARCH("byzantin",B93)),ISNUMBER(SEARCH("croate",B93)),ISNUMBER(SEARCH("ukrainien",B93)),ISNUMBER(SEARCH("bulgare",B93)),ISNUMBER(SEARCH("biélorusse",B93)),ISNUMBER(SEARCH("maltais",B93))),"Autres pays d'Europe",IF(OR(ISNUMBER(SEARCH("américain",B93)),ISNUMBER(SEARCH("mexicain",B93)),ISNUMBER(SEARCH("canadien",B93)),ISNUMBER(SEARCH("brésilien",B93)),ISNUMBER(SEARCH("argentin",B93))),"Amérique",IF(OR(ISNUMBER(SEARCH("chinois",B93)),ISNUMBER(SEARCH("japonais",B93)),ISNUMBER(SEARCH("coréen",B93)),ISNUMBER(SEARCH("indien",B93)),ISNUMBER(SEARCH("persan",B93)),ISNUMBER(SEARCH("iranien",B93))),"Asie","(non classée)"))))</f>
        <v/>
      </c>
    </row>
    <row r="94">
      <c r="A94" s="2" t="inlineStr">
        <is>
          <t>AUGUSTE PRÉAULT</t>
        </is>
      </c>
      <c r="B94" s="2" t="inlineStr">
        <is>
          <t>française</t>
        </is>
      </c>
      <c r="C94" s="2" t="inlineStr">
        <is>
          <t>sculpture</t>
        </is>
      </c>
      <c r="D94" s="2" t="inlineStr">
        <is>
          <t>19e</t>
        </is>
      </c>
      <c r="U94">
        <f>IF(ISNUMBER(SEARCH("fran",B94)),"France",IF(OR(ISNUMBER(SEARCH("italien",B94)),ISNUMBER(SEARCH("espagn",B94)),ISNUMBER(SEARCH("catalan",B94)),ISNUMBER(SEARCH("flamand",B94)),ISNUMBER(SEARCH("belge",B94)),ISNUMBER(SEARCH("hollandais",B94)),ISNUMBER(SEARCH("néerlandais",B94)),ISNUMBER(SEARCH("allemand",B94)),ISNUMBER(SEARCH("autrichien",B94)),ISNUMBER(SEARCH("suisse",B94)),ISNUMBER(SEARCH("anglais",B94)),ISNUMBER(SEARCH("britannique",B94)),ISNUMBER(SEARCH("écossais",B94)),ISNUMBER(SEARCH("irlandais",B94)),ISNUMBER(SEARCH("russe",B94)),ISNUMBER(SEARCH("portugais",B94)),ISNUMBER(SEARCH("danois",B94)),ISNUMBER(SEARCH("norvégien",B94)),ISNUMBER(SEARCH("suédois",B94)),ISNUMBER(SEARCH("finlandais",B94)),ISNUMBER(SEARCH("polonais",B94)),ISNUMBER(SEARCH("tchèque",B94)),ISNUMBER(SEARCH("hongrois",B94)),ISNUMBER(SEARCH("grec",B94)),ISNUMBER(SEARCH("byzantin",B94)),ISNUMBER(SEARCH("croate",B94)),ISNUMBER(SEARCH("ukrainien",B94)),ISNUMBER(SEARCH("bulgare",B94)),ISNUMBER(SEARCH("biélorusse",B94)),ISNUMBER(SEARCH("maltais",B94))),"Autres pays d'Europe",IF(OR(ISNUMBER(SEARCH("américain",B94)),ISNUMBER(SEARCH("mexicain",B94)),ISNUMBER(SEARCH("canadien",B94)),ISNUMBER(SEARCH("brésilien",B94)),ISNUMBER(SEARCH("argentin",B94))),"Amérique",IF(OR(ISNUMBER(SEARCH("chinois",B94)),ISNUMBER(SEARCH("japonais",B94)),ISNUMBER(SEARCH("coréen",B94)),ISNUMBER(SEARCH("indien",B94)),ISNUMBER(SEARCH("persan",B94)),ISNUMBER(SEARCH("iranien",B94))),"Asie","(non classée)"))))</f>
        <v/>
      </c>
    </row>
    <row r="95">
      <c r="A95" s="2" t="inlineStr">
        <is>
          <t>AUGUSTE RODIN</t>
        </is>
      </c>
      <c r="B95" s="2" t="inlineStr">
        <is>
          <t>française</t>
        </is>
      </c>
      <c r="C95" s="2" t="inlineStr">
        <is>
          <t>sculpture</t>
        </is>
      </c>
      <c r="D95" s="2" t="inlineStr">
        <is>
          <t>20e</t>
        </is>
      </c>
      <c r="U95">
        <f>IF(ISNUMBER(SEARCH("fran",B95)),"France",IF(OR(ISNUMBER(SEARCH("italien",B95)),ISNUMBER(SEARCH("espagn",B95)),ISNUMBER(SEARCH("catalan",B95)),ISNUMBER(SEARCH("flamand",B95)),ISNUMBER(SEARCH("belge",B95)),ISNUMBER(SEARCH("hollandais",B95)),ISNUMBER(SEARCH("néerlandais",B95)),ISNUMBER(SEARCH("allemand",B95)),ISNUMBER(SEARCH("autrichien",B95)),ISNUMBER(SEARCH("suisse",B95)),ISNUMBER(SEARCH("anglais",B95)),ISNUMBER(SEARCH("britannique",B95)),ISNUMBER(SEARCH("écossais",B95)),ISNUMBER(SEARCH("irlandais",B95)),ISNUMBER(SEARCH("russe",B95)),ISNUMBER(SEARCH("portugais",B95)),ISNUMBER(SEARCH("danois",B95)),ISNUMBER(SEARCH("norvégien",B95)),ISNUMBER(SEARCH("suédois",B95)),ISNUMBER(SEARCH("finlandais",B95)),ISNUMBER(SEARCH("polonais",B95)),ISNUMBER(SEARCH("tchèque",B95)),ISNUMBER(SEARCH("hongrois",B95)),ISNUMBER(SEARCH("grec",B95)),ISNUMBER(SEARCH("byzantin",B95)),ISNUMBER(SEARCH("croate",B95)),ISNUMBER(SEARCH("ukrainien",B95)),ISNUMBER(SEARCH("bulgare",B95)),ISNUMBER(SEARCH("biélorusse",B95)),ISNUMBER(SEARCH("maltais",B95))),"Autres pays d'Europe",IF(OR(ISNUMBER(SEARCH("américain",B95)),ISNUMBER(SEARCH("mexicain",B95)),ISNUMBER(SEARCH("canadien",B95)),ISNUMBER(SEARCH("brésilien",B95)),ISNUMBER(SEARCH("argentin",B95))),"Amérique",IF(OR(ISNUMBER(SEARCH("chinois",B95)),ISNUMBER(SEARCH("japonais",B95)),ISNUMBER(SEARCH("coréen",B95)),ISNUMBER(SEARCH("indien",B95)),ISNUMBER(SEARCH("persan",B95)),ISNUMBER(SEARCH("iranien",B95))),"Asie","(non classée)"))))</f>
        <v/>
      </c>
    </row>
    <row r="96">
      <c r="A96" s="2" t="inlineStr">
        <is>
          <t>AUGUSTE RODIN</t>
        </is>
      </c>
      <c r="B96" s="2" t="inlineStr">
        <is>
          <t>française</t>
        </is>
      </c>
      <c r="C96" s="2" t="inlineStr">
        <is>
          <t>sculpture</t>
        </is>
      </c>
      <c r="D96" s="2" t="inlineStr">
        <is>
          <t>19e</t>
        </is>
      </c>
      <c r="U96">
        <f>IF(ISNUMBER(SEARCH("fran",B96)),"France",IF(OR(ISNUMBER(SEARCH("italien",B96)),ISNUMBER(SEARCH("espagn",B96)),ISNUMBER(SEARCH("catalan",B96)),ISNUMBER(SEARCH("flamand",B96)),ISNUMBER(SEARCH("belge",B96)),ISNUMBER(SEARCH("hollandais",B96)),ISNUMBER(SEARCH("néerlandais",B96)),ISNUMBER(SEARCH("allemand",B96)),ISNUMBER(SEARCH("autrichien",B96)),ISNUMBER(SEARCH("suisse",B96)),ISNUMBER(SEARCH("anglais",B96)),ISNUMBER(SEARCH("britannique",B96)),ISNUMBER(SEARCH("écossais",B96)),ISNUMBER(SEARCH("irlandais",B96)),ISNUMBER(SEARCH("russe",B96)),ISNUMBER(SEARCH("portugais",B96)),ISNUMBER(SEARCH("danois",B96)),ISNUMBER(SEARCH("norvégien",B96)),ISNUMBER(SEARCH("suédois",B96)),ISNUMBER(SEARCH("finlandais",B96)),ISNUMBER(SEARCH("polonais",B96)),ISNUMBER(SEARCH("tchèque",B96)),ISNUMBER(SEARCH("hongrois",B96)),ISNUMBER(SEARCH("grec",B96)),ISNUMBER(SEARCH("byzantin",B96)),ISNUMBER(SEARCH("croate",B96)),ISNUMBER(SEARCH("ukrainien",B96)),ISNUMBER(SEARCH("bulgare",B96)),ISNUMBER(SEARCH("biélorusse",B96)),ISNUMBER(SEARCH("maltais",B96))),"Autres pays d'Europe",IF(OR(ISNUMBER(SEARCH("américain",B96)),ISNUMBER(SEARCH("mexicain",B96)),ISNUMBER(SEARCH("canadien",B96)),ISNUMBER(SEARCH("brésilien",B96)),ISNUMBER(SEARCH("argentin",B96))),"Amérique",IF(OR(ISNUMBER(SEARCH("chinois",B96)),ISNUMBER(SEARCH("japonais",B96)),ISNUMBER(SEARCH("coréen",B96)),ISNUMBER(SEARCH("indien",B96)),ISNUMBER(SEARCH("persan",B96)),ISNUMBER(SEARCH("iranien",B96))),"Asie","(non classée)"))))</f>
        <v/>
      </c>
    </row>
    <row r="97">
      <c r="A97" s="2" t="inlineStr">
        <is>
          <t>AUGUSTIN PAJOU</t>
        </is>
      </c>
      <c r="B97" s="2" t="inlineStr">
        <is>
          <t>française</t>
        </is>
      </c>
      <c r="C97" s="2" t="inlineStr">
        <is>
          <t>sculpture</t>
        </is>
      </c>
      <c r="D97" s="2" t="inlineStr">
        <is>
          <t>18e</t>
        </is>
      </c>
      <c r="U97">
        <f>IF(ISNUMBER(SEARCH("fran",B97)),"France",IF(OR(ISNUMBER(SEARCH("italien",B97)),ISNUMBER(SEARCH("espagn",B97)),ISNUMBER(SEARCH("catalan",B97)),ISNUMBER(SEARCH("flamand",B97)),ISNUMBER(SEARCH("belge",B97)),ISNUMBER(SEARCH("hollandais",B97)),ISNUMBER(SEARCH("néerlandais",B97)),ISNUMBER(SEARCH("allemand",B97)),ISNUMBER(SEARCH("autrichien",B97)),ISNUMBER(SEARCH("suisse",B97)),ISNUMBER(SEARCH("anglais",B97)),ISNUMBER(SEARCH("britannique",B97)),ISNUMBER(SEARCH("écossais",B97)),ISNUMBER(SEARCH("irlandais",B97)),ISNUMBER(SEARCH("russe",B97)),ISNUMBER(SEARCH("portugais",B97)),ISNUMBER(SEARCH("danois",B97)),ISNUMBER(SEARCH("norvégien",B97)),ISNUMBER(SEARCH("suédois",B97)),ISNUMBER(SEARCH("finlandais",B97)),ISNUMBER(SEARCH("polonais",B97)),ISNUMBER(SEARCH("tchèque",B97)),ISNUMBER(SEARCH("hongrois",B97)),ISNUMBER(SEARCH("grec",B97)),ISNUMBER(SEARCH("byzantin",B97)),ISNUMBER(SEARCH("croate",B97)),ISNUMBER(SEARCH("ukrainien",B97)),ISNUMBER(SEARCH("bulgare",B97)),ISNUMBER(SEARCH("biélorusse",B97)),ISNUMBER(SEARCH("maltais",B97))),"Autres pays d'Europe",IF(OR(ISNUMBER(SEARCH("américain",B97)),ISNUMBER(SEARCH("mexicain",B97)),ISNUMBER(SEARCH("canadien",B97)),ISNUMBER(SEARCH("brésilien",B97)),ISNUMBER(SEARCH("argentin",B97))),"Amérique",IF(OR(ISNUMBER(SEARCH("chinois",B97)),ISNUMBER(SEARCH("japonais",B97)),ISNUMBER(SEARCH("coréen",B97)),ISNUMBER(SEARCH("indien",B97)),ISNUMBER(SEARCH("persan",B97)),ISNUMBER(SEARCH("iranien",B97))),"Asie","(non classée)"))))</f>
        <v/>
      </c>
    </row>
    <row r="98">
      <c r="A98" s="2" t="inlineStr">
        <is>
          <t>AUGUSTUS SAINT-GAUDENS</t>
        </is>
      </c>
      <c r="B98" s="2" t="inlineStr">
        <is>
          <t>américaine</t>
        </is>
      </c>
      <c r="C98" s="2" t="inlineStr">
        <is>
          <t>sculpture</t>
        </is>
      </c>
      <c r="D98" s="2" t="inlineStr">
        <is>
          <t>20e</t>
        </is>
      </c>
      <c r="U98">
        <f>IF(ISNUMBER(SEARCH("fran",B98)),"France",IF(OR(ISNUMBER(SEARCH("italien",B98)),ISNUMBER(SEARCH("espagn",B98)),ISNUMBER(SEARCH("catalan",B98)),ISNUMBER(SEARCH("flamand",B98)),ISNUMBER(SEARCH("belge",B98)),ISNUMBER(SEARCH("hollandais",B98)),ISNUMBER(SEARCH("néerlandais",B98)),ISNUMBER(SEARCH("allemand",B98)),ISNUMBER(SEARCH("autrichien",B98)),ISNUMBER(SEARCH("suisse",B98)),ISNUMBER(SEARCH("anglais",B98)),ISNUMBER(SEARCH("britannique",B98)),ISNUMBER(SEARCH("écossais",B98)),ISNUMBER(SEARCH("irlandais",B98)),ISNUMBER(SEARCH("russe",B98)),ISNUMBER(SEARCH("portugais",B98)),ISNUMBER(SEARCH("danois",B98)),ISNUMBER(SEARCH("norvégien",B98)),ISNUMBER(SEARCH("suédois",B98)),ISNUMBER(SEARCH("finlandais",B98)),ISNUMBER(SEARCH("polonais",B98)),ISNUMBER(SEARCH("tchèque",B98)),ISNUMBER(SEARCH("hongrois",B98)),ISNUMBER(SEARCH("grec",B98)),ISNUMBER(SEARCH("byzantin",B98)),ISNUMBER(SEARCH("croate",B98)),ISNUMBER(SEARCH("ukrainien",B98)),ISNUMBER(SEARCH("bulgare",B98)),ISNUMBER(SEARCH("biélorusse",B98)),ISNUMBER(SEARCH("maltais",B98))),"Autres pays d'Europe",IF(OR(ISNUMBER(SEARCH("américain",B98)),ISNUMBER(SEARCH("mexicain",B98)),ISNUMBER(SEARCH("canadien",B98)),ISNUMBER(SEARCH("brésilien",B98)),ISNUMBER(SEARCH("argentin",B98))),"Amérique",IF(OR(ISNUMBER(SEARCH("chinois",B98)),ISNUMBER(SEARCH("japonais",B98)),ISNUMBER(SEARCH("coréen",B98)),ISNUMBER(SEARCH("indien",B98)),ISNUMBER(SEARCH("persan",B98)),ISNUMBER(SEARCH("iranien",B98))),"Asie","(non classée)"))))</f>
        <v/>
      </c>
    </row>
    <row r="99">
      <c r="A99" s="2" t="inlineStr">
        <is>
          <t>AUGUSTUS SAINT-GAUDENS</t>
        </is>
      </c>
      <c r="B99" s="2" t="inlineStr">
        <is>
          <t>américaine</t>
        </is>
      </c>
      <c r="C99" s="2" t="inlineStr">
        <is>
          <t>sculpture</t>
        </is>
      </c>
      <c r="D99" s="2" t="inlineStr">
        <is>
          <t>19e</t>
        </is>
      </c>
      <c r="U99">
        <f>IF(ISNUMBER(SEARCH("fran",B99)),"France",IF(OR(ISNUMBER(SEARCH("italien",B99)),ISNUMBER(SEARCH("espagn",B99)),ISNUMBER(SEARCH("catalan",B99)),ISNUMBER(SEARCH("flamand",B99)),ISNUMBER(SEARCH("belge",B99)),ISNUMBER(SEARCH("hollandais",B99)),ISNUMBER(SEARCH("néerlandais",B99)),ISNUMBER(SEARCH("allemand",B99)),ISNUMBER(SEARCH("autrichien",B99)),ISNUMBER(SEARCH("suisse",B99)),ISNUMBER(SEARCH("anglais",B99)),ISNUMBER(SEARCH("britannique",B99)),ISNUMBER(SEARCH("écossais",B99)),ISNUMBER(SEARCH("irlandais",B99)),ISNUMBER(SEARCH("russe",B99)),ISNUMBER(SEARCH("portugais",B99)),ISNUMBER(SEARCH("danois",B99)),ISNUMBER(SEARCH("norvégien",B99)),ISNUMBER(SEARCH("suédois",B99)),ISNUMBER(SEARCH("finlandais",B99)),ISNUMBER(SEARCH("polonais",B99)),ISNUMBER(SEARCH("tchèque",B99)),ISNUMBER(SEARCH("hongrois",B99)),ISNUMBER(SEARCH("grec",B99)),ISNUMBER(SEARCH("byzantin",B99)),ISNUMBER(SEARCH("croate",B99)),ISNUMBER(SEARCH("ukrainien",B99)),ISNUMBER(SEARCH("bulgare",B99)),ISNUMBER(SEARCH("biélorusse",B99)),ISNUMBER(SEARCH("maltais",B99))),"Autres pays d'Europe",IF(OR(ISNUMBER(SEARCH("américain",B99)),ISNUMBER(SEARCH("mexicain",B99)),ISNUMBER(SEARCH("canadien",B99)),ISNUMBER(SEARCH("brésilien",B99)),ISNUMBER(SEARCH("argentin",B99))),"Amérique",IF(OR(ISNUMBER(SEARCH("chinois",B99)),ISNUMBER(SEARCH("japonais",B99)),ISNUMBER(SEARCH("coréen",B99)),ISNUMBER(SEARCH("indien",B99)),ISNUMBER(SEARCH("persan",B99)),ISNUMBER(SEARCH("iranien",B99))),"Asie","(non classée)"))))</f>
        <v/>
      </c>
    </row>
    <row r="100">
      <c r="A100" s="2" t="inlineStr">
        <is>
          <t>BERTOLDO DI GIOVANNI</t>
        </is>
      </c>
      <c r="B100" s="2" t="inlineStr">
        <is>
          <t>italienne</t>
        </is>
      </c>
      <c r="C100" s="2" t="inlineStr">
        <is>
          <t>sculpture</t>
        </is>
      </c>
      <c r="D100" s="2" t="inlineStr">
        <is>
          <t>15e</t>
        </is>
      </c>
      <c r="U100">
        <f>IF(ISNUMBER(SEARCH("fran",B100)),"France",IF(OR(ISNUMBER(SEARCH("italien",B100)),ISNUMBER(SEARCH("espagn",B100)),ISNUMBER(SEARCH("catalan",B100)),ISNUMBER(SEARCH("flamand",B100)),ISNUMBER(SEARCH("belge",B100)),ISNUMBER(SEARCH("hollandais",B100)),ISNUMBER(SEARCH("néerlandais",B100)),ISNUMBER(SEARCH("allemand",B100)),ISNUMBER(SEARCH("autrichien",B100)),ISNUMBER(SEARCH("suisse",B100)),ISNUMBER(SEARCH("anglais",B100)),ISNUMBER(SEARCH("britannique",B100)),ISNUMBER(SEARCH("écossais",B100)),ISNUMBER(SEARCH("irlandais",B100)),ISNUMBER(SEARCH("russe",B100)),ISNUMBER(SEARCH("portugais",B100)),ISNUMBER(SEARCH("danois",B100)),ISNUMBER(SEARCH("norvégien",B100)),ISNUMBER(SEARCH("suédois",B100)),ISNUMBER(SEARCH("finlandais",B100)),ISNUMBER(SEARCH("polonais",B100)),ISNUMBER(SEARCH("tchèque",B100)),ISNUMBER(SEARCH("hongrois",B100)),ISNUMBER(SEARCH("grec",B100)),ISNUMBER(SEARCH("byzantin",B100)),ISNUMBER(SEARCH("croate",B100)),ISNUMBER(SEARCH("ukrainien",B100)),ISNUMBER(SEARCH("bulgare",B100)),ISNUMBER(SEARCH("biélorusse",B100)),ISNUMBER(SEARCH("maltais",B100))),"Autres pays d'Europe",IF(OR(ISNUMBER(SEARCH("américain",B100)),ISNUMBER(SEARCH("mexicain",B100)),ISNUMBER(SEARCH("canadien",B100)),ISNUMBER(SEARCH("brésilien",B100)),ISNUMBER(SEARCH("argentin",B100))),"Amérique",IF(OR(ISNUMBER(SEARCH("chinois",B100)),ISNUMBER(SEARCH("japonais",B100)),ISNUMBER(SEARCH("coréen",B100)),ISNUMBER(SEARCH("indien",B100)),ISNUMBER(SEARCH("persan",B100)),ISNUMBER(SEARCH("iranien",B100))),"Asie","(non classée)"))))</f>
        <v/>
      </c>
    </row>
    <row r="101">
      <c r="A101" s="2" t="inlineStr">
        <is>
          <t>BACCIO BANDINELLI</t>
        </is>
      </c>
      <c r="B101" s="2" t="inlineStr">
        <is>
          <t>italienne</t>
        </is>
      </c>
      <c r="C101" s="2" t="inlineStr">
        <is>
          <t>sculpture</t>
        </is>
      </c>
      <c r="D101" s="2" t="inlineStr">
        <is>
          <t>16e</t>
        </is>
      </c>
      <c r="U101">
        <f>IF(ISNUMBER(SEARCH("fran",B101)),"France",IF(OR(ISNUMBER(SEARCH("italien",B101)),ISNUMBER(SEARCH("espagn",B101)),ISNUMBER(SEARCH("catalan",B101)),ISNUMBER(SEARCH("flamand",B101)),ISNUMBER(SEARCH("belge",B101)),ISNUMBER(SEARCH("hollandais",B101)),ISNUMBER(SEARCH("néerlandais",B101)),ISNUMBER(SEARCH("allemand",B101)),ISNUMBER(SEARCH("autrichien",B101)),ISNUMBER(SEARCH("suisse",B101)),ISNUMBER(SEARCH("anglais",B101)),ISNUMBER(SEARCH("britannique",B101)),ISNUMBER(SEARCH("écossais",B101)),ISNUMBER(SEARCH("irlandais",B101)),ISNUMBER(SEARCH("russe",B101)),ISNUMBER(SEARCH("portugais",B101)),ISNUMBER(SEARCH("danois",B101)),ISNUMBER(SEARCH("norvégien",B101)),ISNUMBER(SEARCH("suédois",B101)),ISNUMBER(SEARCH("finlandais",B101)),ISNUMBER(SEARCH("polonais",B101)),ISNUMBER(SEARCH("tchèque",B101)),ISNUMBER(SEARCH("hongrois",B101)),ISNUMBER(SEARCH("grec",B101)),ISNUMBER(SEARCH("byzantin",B101)),ISNUMBER(SEARCH("croate",B101)),ISNUMBER(SEARCH("ukrainien",B101)),ISNUMBER(SEARCH("bulgare",B101)),ISNUMBER(SEARCH("biélorusse",B101)),ISNUMBER(SEARCH("maltais",B101))),"Autres pays d'Europe",IF(OR(ISNUMBER(SEARCH("américain",B101)),ISNUMBER(SEARCH("mexicain",B101)),ISNUMBER(SEARCH("canadien",B101)),ISNUMBER(SEARCH("brésilien",B101)),ISNUMBER(SEARCH("argentin",B101))),"Amérique",IF(OR(ISNUMBER(SEARCH("chinois",B101)),ISNUMBER(SEARCH("japonais",B101)),ISNUMBER(SEARCH("coréen",B101)),ISNUMBER(SEARCH("indien",B101)),ISNUMBER(SEARCH("persan",B101)),ISNUMBER(SEARCH("iranien",B101))),"Asie","(non classée)"))))</f>
        <v/>
      </c>
    </row>
    <row r="102">
      <c r="A102" s="2" t="inlineStr">
        <is>
          <t>BADA SHANREN</t>
        </is>
      </c>
      <c r="B102" s="2" t="inlineStr">
        <is>
          <t>chinoise</t>
        </is>
      </c>
      <c r="C102" s="2" t="inlineStr">
        <is>
          <t>peinture</t>
        </is>
      </c>
      <c r="D102" s="2" t="inlineStr">
        <is>
          <t>17e</t>
        </is>
      </c>
      <c r="U102">
        <f>IF(ISNUMBER(SEARCH("fran",B102)),"France",IF(OR(ISNUMBER(SEARCH("italien",B102)),ISNUMBER(SEARCH("espagn",B102)),ISNUMBER(SEARCH("catalan",B102)),ISNUMBER(SEARCH("flamand",B102)),ISNUMBER(SEARCH("belge",B102)),ISNUMBER(SEARCH("hollandais",B102)),ISNUMBER(SEARCH("néerlandais",B102)),ISNUMBER(SEARCH("allemand",B102)),ISNUMBER(SEARCH("autrichien",B102)),ISNUMBER(SEARCH("suisse",B102)),ISNUMBER(SEARCH("anglais",B102)),ISNUMBER(SEARCH("britannique",B102)),ISNUMBER(SEARCH("écossais",B102)),ISNUMBER(SEARCH("irlandais",B102)),ISNUMBER(SEARCH("russe",B102)),ISNUMBER(SEARCH("portugais",B102)),ISNUMBER(SEARCH("danois",B102)),ISNUMBER(SEARCH("norvégien",B102)),ISNUMBER(SEARCH("suédois",B102)),ISNUMBER(SEARCH("finlandais",B102)),ISNUMBER(SEARCH("polonais",B102)),ISNUMBER(SEARCH("tchèque",B102)),ISNUMBER(SEARCH("hongrois",B102)),ISNUMBER(SEARCH("grec",B102)),ISNUMBER(SEARCH("byzantin",B102)),ISNUMBER(SEARCH("croate",B102)),ISNUMBER(SEARCH("ukrainien",B102)),ISNUMBER(SEARCH("bulgare",B102)),ISNUMBER(SEARCH("biélorusse",B102)),ISNUMBER(SEARCH("maltais",B102))),"Autres pays d'Europe",IF(OR(ISNUMBER(SEARCH("américain",B102)),ISNUMBER(SEARCH("mexicain",B102)),ISNUMBER(SEARCH("canadien",B102)),ISNUMBER(SEARCH("brésilien",B102)),ISNUMBER(SEARCH("argentin",B102))),"Amérique",IF(OR(ISNUMBER(SEARCH("chinois",B102)),ISNUMBER(SEARCH("japonais",B102)),ISNUMBER(SEARCH("coréen",B102)),ISNUMBER(SEARCH("indien",B102)),ISNUMBER(SEARCH("persan",B102)),ISNUMBER(SEARCH("iranien",B102))),"Asie","(non classée)"))))</f>
        <v/>
      </c>
    </row>
    <row r="103">
      <c r="A103" s="2" t="inlineStr">
        <is>
          <t>BALTHASAR PERMOSER</t>
        </is>
      </c>
      <c r="B103" s="2" t="inlineStr">
        <is>
          <t>allemande</t>
        </is>
      </c>
      <c r="C103" s="2" t="inlineStr">
        <is>
          <t>sculpture</t>
        </is>
      </c>
      <c r="D103" s="2" t="inlineStr">
        <is>
          <t>18e</t>
        </is>
      </c>
      <c r="U103">
        <f>IF(ISNUMBER(SEARCH("fran",B103)),"France",IF(OR(ISNUMBER(SEARCH("italien",B103)),ISNUMBER(SEARCH("espagn",B103)),ISNUMBER(SEARCH("catalan",B103)),ISNUMBER(SEARCH("flamand",B103)),ISNUMBER(SEARCH("belge",B103)),ISNUMBER(SEARCH("hollandais",B103)),ISNUMBER(SEARCH("néerlandais",B103)),ISNUMBER(SEARCH("allemand",B103)),ISNUMBER(SEARCH("autrichien",B103)),ISNUMBER(SEARCH("suisse",B103)),ISNUMBER(SEARCH("anglais",B103)),ISNUMBER(SEARCH("britannique",B103)),ISNUMBER(SEARCH("écossais",B103)),ISNUMBER(SEARCH("irlandais",B103)),ISNUMBER(SEARCH("russe",B103)),ISNUMBER(SEARCH("portugais",B103)),ISNUMBER(SEARCH("danois",B103)),ISNUMBER(SEARCH("norvégien",B103)),ISNUMBER(SEARCH("suédois",B103)),ISNUMBER(SEARCH("finlandais",B103)),ISNUMBER(SEARCH("polonais",B103)),ISNUMBER(SEARCH("tchèque",B103)),ISNUMBER(SEARCH("hongrois",B103)),ISNUMBER(SEARCH("grec",B103)),ISNUMBER(SEARCH("byzantin",B103)),ISNUMBER(SEARCH("croate",B103)),ISNUMBER(SEARCH("ukrainien",B103)),ISNUMBER(SEARCH("bulgare",B103)),ISNUMBER(SEARCH("biélorusse",B103)),ISNUMBER(SEARCH("maltais",B103))),"Autres pays d'Europe",IF(OR(ISNUMBER(SEARCH("américain",B103)),ISNUMBER(SEARCH("mexicain",B103)),ISNUMBER(SEARCH("canadien",B103)),ISNUMBER(SEARCH("brésilien",B103)),ISNUMBER(SEARCH("argentin",B103))),"Amérique",IF(OR(ISNUMBER(SEARCH("chinois",B103)),ISNUMBER(SEARCH("japonais",B103)),ISNUMBER(SEARCH("coréen",B103)),ISNUMBER(SEARCH("indien",B103)),ISNUMBER(SEARCH("persan",B103)),ISNUMBER(SEARCH("iranien",B103))),"Asie","(non classée)"))))</f>
        <v/>
      </c>
    </row>
    <row r="104">
      <c r="A104" s="2" t="inlineStr">
        <is>
          <t>BALTHAZAR PERMOSER</t>
        </is>
      </c>
      <c r="B104" s="2" t="inlineStr">
        <is>
          <t>allemande</t>
        </is>
      </c>
      <c r="C104" s="2" t="inlineStr">
        <is>
          <t>sculpture</t>
        </is>
      </c>
      <c r="D104" s="2" t="inlineStr">
        <is>
          <t>17e</t>
        </is>
      </c>
      <c r="U104">
        <f>IF(ISNUMBER(SEARCH("fran",B104)),"France",IF(OR(ISNUMBER(SEARCH("italien",B104)),ISNUMBER(SEARCH("espagn",B104)),ISNUMBER(SEARCH("catalan",B104)),ISNUMBER(SEARCH("flamand",B104)),ISNUMBER(SEARCH("belge",B104)),ISNUMBER(SEARCH("hollandais",B104)),ISNUMBER(SEARCH("néerlandais",B104)),ISNUMBER(SEARCH("allemand",B104)),ISNUMBER(SEARCH("autrichien",B104)),ISNUMBER(SEARCH("suisse",B104)),ISNUMBER(SEARCH("anglais",B104)),ISNUMBER(SEARCH("britannique",B104)),ISNUMBER(SEARCH("écossais",B104)),ISNUMBER(SEARCH("irlandais",B104)),ISNUMBER(SEARCH("russe",B104)),ISNUMBER(SEARCH("portugais",B104)),ISNUMBER(SEARCH("danois",B104)),ISNUMBER(SEARCH("norvégien",B104)),ISNUMBER(SEARCH("suédois",B104)),ISNUMBER(SEARCH("finlandais",B104)),ISNUMBER(SEARCH("polonais",B104)),ISNUMBER(SEARCH("tchèque",B104)),ISNUMBER(SEARCH("hongrois",B104)),ISNUMBER(SEARCH("grec",B104)),ISNUMBER(SEARCH("byzantin",B104)),ISNUMBER(SEARCH("croate",B104)),ISNUMBER(SEARCH("ukrainien",B104)),ISNUMBER(SEARCH("bulgare",B104)),ISNUMBER(SEARCH("biélorusse",B104)),ISNUMBER(SEARCH("maltais",B104))),"Autres pays d'Europe",IF(OR(ISNUMBER(SEARCH("américain",B104)),ISNUMBER(SEARCH("mexicain",B104)),ISNUMBER(SEARCH("canadien",B104)),ISNUMBER(SEARCH("brésilien",B104)),ISNUMBER(SEARCH("argentin",B104))),"Amérique",IF(OR(ISNUMBER(SEARCH("chinois",B104)),ISNUMBER(SEARCH("japonais",B104)),ISNUMBER(SEARCH("coréen",B104)),ISNUMBER(SEARCH("indien",B104)),ISNUMBER(SEARCH("persan",B104)),ISNUMBER(SEARCH("iranien",B104))),"Asie","(non classée)"))))</f>
        <v/>
      </c>
    </row>
    <row r="105">
      <c r="A105" s="2" t="inlineStr">
        <is>
          <t xml:space="preserve">BARTHÉLEMY GUIBAL </t>
        </is>
      </c>
      <c r="B105" s="2" t="inlineStr">
        <is>
          <t>française</t>
        </is>
      </c>
      <c r="C105" s="2" t="inlineStr">
        <is>
          <t>sculpture</t>
        </is>
      </c>
      <c r="D105" s="2" t="inlineStr">
        <is>
          <t>18e</t>
        </is>
      </c>
      <c r="U105">
        <f>IF(ISNUMBER(SEARCH("fran",B105)),"France",IF(OR(ISNUMBER(SEARCH("italien",B105)),ISNUMBER(SEARCH("espagn",B105)),ISNUMBER(SEARCH("catalan",B105)),ISNUMBER(SEARCH("flamand",B105)),ISNUMBER(SEARCH("belge",B105)),ISNUMBER(SEARCH("hollandais",B105)),ISNUMBER(SEARCH("néerlandais",B105)),ISNUMBER(SEARCH("allemand",B105)),ISNUMBER(SEARCH("autrichien",B105)),ISNUMBER(SEARCH("suisse",B105)),ISNUMBER(SEARCH("anglais",B105)),ISNUMBER(SEARCH("britannique",B105)),ISNUMBER(SEARCH("écossais",B105)),ISNUMBER(SEARCH("irlandais",B105)),ISNUMBER(SEARCH("russe",B105)),ISNUMBER(SEARCH("portugais",B105)),ISNUMBER(SEARCH("danois",B105)),ISNUMBER(SEARCH("norvégien",B105)),ISNUMBER(SEARCH("suédois",B105)),ISNUMBER(SEARCH("finlandais",B105)),ISNUMBER(SEARCH("polonais",B105)),ISNUMBER(SEARCH("tchèque",B105)),ISNUMBER(SEARCH("hongrois",B105)),ISNUMBER(SEARCH("grec",B105)),ISNUMBER(SEARCH("byzantin",B105)),ISNUMBER(SEARCH("croate",B105)),ISNUMBER(SEARCH("ukrainien",B105)),ISNUMBER(SEARCH("bulgare",B105)),ISNUMBER(SEARCH("biélorusse",B105)),ISNUMBER(SEARCH("maltais",B105))),"Autres pays d'Europe",IF(OR(ISNUMBER(SEARCH("américain",B105)),ISNUMBER(SEARCH("mexicain",B105)),ISNUMBER(SEARCH("canadien",B105)),ISNUMBER(SEARCH("brésilien",B105)),ISNUMBER(SEARCH("argentin",B105))),"Amérique",IF(OR(ISNUMBER(SEARCH("chinois",B105)),ISNUMBER(SEARCH("japonais",B105)),ISNUMBER(SEARCH("coréen",B105)),ISNUMBER(SEARCH("indien",B105)),ISNUMBER(SEARCH("persan",B105)),ISNUMBER(SEARCH("iranien",B105))),"Asie","(non classée)"))))</f>
        <v/>
      </c>
    </row>
    <row r="106">
      <c r="A106" s="2" t="inlineStr">
        <is>
          <t>BARTHÉLEMY PRIEUR</t>
        </is>
      </c>
      <c r="B106" s="2" t="inlineStr">
        <is>
          <t>française</t>
        </is>
      </c>
      <c r="C106" s="2" t="inlineStr">
        <is>
          <t>sculpture</t>
        </is>
      </c>
      <c r="D106" s="2" t="inlineStr">
        <is>
          <t>16e</t>
        </is>
      </c>
      <c r="U106">
        <f>IF(ISNUMBER(SEARCH("fran",B106)),"France",IF(OR(ISNUMBER(SEARCH("italien",B106)),ISNUMBER(SEARCH("espagn",B106)),ISNUMBER(SEARCH("catalan",B106)),ISNUMBER(SEARCH("flamand",B106)),ISNUMBER(SEARCH("belge",B106)),ISNUMBER(SEARCH("hollandais",B106)),ISNUMBER(SEARCH("néerlandais",B106)),ISNUMBER(SEARCH("allemand",B106)),ISNUMBER(SEARCH("autrichien",B106)),ISNUMBER(SEARCH("suisse",B106)),ISNUMBER(SEARCH("anglais",B106)),ISNUMBER(SEARCH("britannique",B106)),ISNUMBER(SEARCH("écossais",B106)),ISNUMBER(SEARCH("irlandais",B106)),ISNUMBER(SEARCH("russe",B106)),ISNUMBER(SEARCH("portugais",B106)),ISNUMBER(SEARCH("danois",B106)),ISNUMBER(SEARCH("norvégien",B106)),ISNUMBER(SEARCH("suédois",B106)),ISNUMBER(SEARCH("finlandais",B106)),ISNUMBER(SEARCH("polonais",B106)),ISNUMBER(SEARCH("tchèque",B106)),ISNUMBER(SEARCH("hongrois",B106)),ISNUMBER(SEARCH("grec",B106)),ISNUMBER(SEARCH("byzantin",B106)),ISNUMBER(SEARCH("croate",B106)),ISNUMBER(SEARCH("ukrainien",B106)),ISNUMBER(SEARCH("bulgare",B106)),ISNUMBER(SEARCH("biélorusse",B106)),ISNUMBER(SEARCH("maltais",B106))),"Autres pays d'Europe",IF(OR(ISNUMBER(SEARCH("américain",B106)),ISNUMBER(SEARCH("mexicain",B106)),ISNUMBER(SEARCH("canadien",B106)),ISNUMBER(SEARCH("brésilien",B106)),ISNUMBER(SEARCH("argentin",B106))),"Amérique",IF(OR(ISNUMBER(SEARCH("chinois",B106)),ISNUMBER(SEARCH("japonais",B106)),ISNUMBER(SEARCH("coréen",B106)),ISNUMBER(SEARCH("indien",B106)),ISNUMBER(SEARCH("persan",B106)),ISNUMBER(SEARCH("iranien",B106))),"Asie","(non classée)"))))</f>
        <v/>
      </c>
    </row>
    <row r="107">
      <c r="A107" s="2" t="inlineStr">
        <is>
          <t>BARTOLO DI FREDI</t>
        </is>
      </c>
      <c r="B107" s="2" t="inlineStr">
        <is>
          <t>italienne</t>
        </is>
      </c>
      <c r="C107" s="2" t="inlineStr">
        <is>
          <t>peinture</t>
        </is>
      </c>
      <c r="D107" s="2" t="inlineStr">
        <is>
          <t>14e</t>
        </is>
      </c>
      <c r="U107">
        <f>IF(ISNUMBER(SEARCH("fran",B107)),"France",IF(OR(ISNUMBER(SEARCH("italien",B107)),ISNUMBER(SEARCH("espagn",B107)),ISNUMBER(SEARCH("catalan",B107)),ISNUMBER(SEARCH("flamand",B107)),ISNUMBER(SEARCH("belge",B107)),ISNUMBER(SEARCH("hollandais",B107)),ISNUMBER(SEARCH("néerlandais",B107)),ISNUMBER(SEARCH("allemand",B107)),ISNUMBER(SEARCH("autrichien",B107)),ISNUMBER(SEARCH("suisse",B107)),ISNUMBER(SEARCH("anglais",B107)),ISNUMBER(SEARCH("britannique",B107)),ISNUMBER(SEARCH("écossais",B107)),ISNUMBER(SEARCH("irlandais",B107)),ISNUMBER(SEARCH("russe",B107)),ISNUMBER(SEARCH("portugais",B107)),ISNUMBER(SEARCH("danois",B107)),ISNUMBER(SEARCH("norvégien",B107)),ISNUMBER(SEARCH("suédois",B107)),ISNUMBER(SEARCH("finlandais",B107)),ISNUMBER(SEARCH("polonais",B107)),ISNUMBER(SEARCH("tchèque",B107)),ISNUMBER(SEARCH("hongrois",B107)),ISNUMBER(SEARCH("grec",B107)),ISNUMBER(SEARCH("byzantin",B107)),ISNUMBER(SEARCH("croate",B107)),ISNUMBER(SEARCH("ukrainien",B107)),ISNUMBER(SEARCH("bulgare",B107)),ISNUMBER(SEARCH("biélorusse",B107)),ISNUMBER(SEARCH("maltais",B107))),"Autres pays d'Europe",IF(OR(ISNUMBER(SEARCH("américain",B107)),ISNUMBER(SEARCH("mexicain",B107)),ISNUMBER(SEARCH("canadien",B107)),ISNUMBER(SEARCH("brésilien",B107)),ISNUMBER(SEARCH("argentin",B107))),"Amérique",IF(OR(ISNUMBER(SEARCH("chinois",B107)),ISNUMBER(SEARCH("japonais",B107)),ISNUMBER(SEARCH("coréen",B107)),ISNUMBER(SEARCH("indien",B107)),ISNUMBER(SEARCH("persan",B107)),ISNUMBER(SEARCH("iranien",B107))),"Asie","(non classée)"))))</f>
        <v/>
      </c>
    </row>
    <row r="108">
      <c r="A108" s="2" t="inlineStr">
        <is>
          <t>BARTOLOMEO AMMANNATI</t>
        </is>
      </c>
      <c r="B108" s="2" t="inlineStr">
        <is>
          <t>italienne</t>
        </is>
      </c>
      <c r="C108" s="2" t="inlineStr">
        <is>
          <t>sculpture</t>
        </is>
      </c>
      <c r="D108" s="2" t="inlineStr">
        <is>
          <t>16e</t>
        </is>
      </c>
      <c r="U108">
        <f>IF(ISNUMBER(SEARCH("fran",B108)),"France",IF(OR(ISNUMBER(SEARCH("italien",B108)),ISNUMBER(SEARCH("espagn",B108)),ISNUMBER(SEARCH("catalan",B108)),ISNUMBER(SEARCH("flamand",B108)),ISNUMBER(SEARCH("belge",B108)),ISNUMBER(SEARCH("hollandais",B108)),ISNUMBER(SEARCH("néerlandais",B108)),ISNUMBER(SEARCH("allemand",B108)),ISNUMBER(SEARCH("autrichien",B108)),ISNUMBER(SEARCH("suisse",B108)),ISNUMBER(SEARCH("anglais",B108)),ISNUMBER(SEARCH("britannique",B108)),ISNUMBER(SEARCH("écossais",B108)),ISNUMBER(SEARCH("irlandais",B108)),ISNUMBER(SEARCH("russe",B108)),ISNUMBER(SEARCH("portugais",B108)),ISNUMBER(SEARCH("danois",B108)),ISNUMBER(SEARCH("norvégien",B108)),ISNUMBER(SEARCH("suédois",B108)),ISNUMBER(SEARCH("finlandais",B108)),ISNUMBER(SEARCH("polonais",B108)),ISNUMBER(SEARCH("tchèque",B108)),ISNUMBER(SEARCH("hongrois",B108)),ISNUMBER(SEARCH("grec",B108)),ISNUMBER(SEARCH("byzantin",B108)),ISNUMBER(SEARCH("croate",B108)),ISNUMBER(SEARCH("ukrainien",B108)),ISNUMBER(SEARCH("bulgare",B108)),ISNUMBER(SEARCH("biélorusse",B108)),ISNUMBER(SEARCH("maltais",B108))),"Autres pays d'Europe",IF(OR(ISNUMBER(SEARCH("américain",B108)),ISNUMBER(SEARCH("mexicain",B108)),ISNUMBER(SEARCH("canadien",B108)),ISNUMBER(SEARCH("brésilien",B108)),ISNUMBER(SEARCH("argentin",B108))),"Amérique",IF(OR(ISNUMBER(SEARCH("chinois",B108)),ISNUMBER(SEARCH("japonais",B108)),ISNUMBER(SEARCH("coréen",B108)),ISNUMBER(SEARCH("indien",B108)),ISNUMBER(SEARCH("persan",B108)),ISNUMBER(SEARCH("iranien",B108))),"Asie","(non classée)"))))</f>
        <v/>
      </c>
    </row>
    <row r="109">
      <c r="A109" s="2" t="inlineStr">
        <is>
          <t>BARTOLOMEO BELLANO</t>
        </is>
      </c>
      <c r="B109" s="2" t="inlineStr">
        <is>
          <t>italienne</t>
        </is>
      </c>
      <c r="C109" s="2" t="inlineStr">
        <is>
          <t>sculpture</t>
        </is>
      </c>
      <c r="D109" s="2" t="inlineStr">
        <is>
          <t>15e</t>
        </is>
      </c>
      <c r="U109">
        <f>IF(ISNUMBER(SEARCH("fran",B109)),"France",IF(OR(ISNUMBER(SEARCH("italien",B109)),ISNUMBER(SEARCH("espagn",B109)),ISNUMBER(SEARCH("catalan",B109)),ISNUMBER(SEARCH("flamand",B109)),ISNUMBER(SEARCH("belge",B109)),ISNUMBER(SEARCH("hollandais",B109)),ISNUMBER(SEARCH("néerlandais",B109)),ISNUMBER(SEARCH("allemand",B109)),ISNUMBER(SEARCH("autrichien",B109)),ISNUMBER(SEARCH("suisse",B109)),ISNUMBER(SEARCH("anglais",B109)),ISNUMBER(SEARCH("britannique",B109)),ISNUMBER(SEARCH("écossais",B109)),ISNUMBER(SEARCH("irlandais",B109)),ISNUMBER(SEARCH("russe",B109)),ISNUMBER(SEARCH("portugais",B109)),ISNUMBER(SEARCH("danois",B109)),ISNUMBER(SEARCH("norvégien",B109)),ISNUMBER(SEARCH("suédois",B109)),ISNUMBER(SEARCH("finlandais",B109)),ISNUMBER(SEARCH("polonais",B109)),ISNUMBER(SEARCH("tchèque",B109)),ISNUMBER(SEARCH("hongrois",B109)),ISNUMBER(SEARCH("grec",B109)),ISNUMBER(SEARCH("byzantin",B109)),ISNUMBER(SEARCH("croate",B109)),ISNUMBER(SEARCH("ukrainien",B109)),ISNUMBER(SEARCH("bulgare",B109)),ISNUMBER(SEARCH("biélorusse",B109)),ISNUMBER(SEARCH("maltais",B109))),"Autres pays d'Europe",IF(OR(ISNUMBER(SEARCH("américain",B109)),ISNUMBER(SEARCH("mexicain",B109)),ISNUMBER(SEARCH("canadien",B109)),ISNUMBER(SEARCH("brésilien",B109)),ISNUMBER(SEARCH("argentin",B109))),"Amérique",IF(OR(ISNUMBER(SEARCH("chinois",B109)),ISNUMBER(SEARCH("japonais",B109)),ISNUMBER(SEARCH("coréen",B109)),ISNUMBER(SEARCH("indien",B109)),ISNUMBER(SEARCH("persan",B109)),ISNUMBER(SEARCH("iranien",B109))),"Asie","(non classée)"))))</f>
        <v/>
      </c>
    </row>
    <row r="110">
      <c r="A110" s="2" t="inlineStr">
        <is>
          <t>BARTOLOMEO BULGARINI</t>
        </is>
      </c>
      <c r="B110" s="2" t="inlineStr">
        <is>
          <t>italienne</t>
        </is>
      </c>
      <c r="C110" s="2" t="inlineStr">
        <is>
          <t>peinture</t>
        </is>
      </c>
      <c r="D110" s="2" t="inlineStr">
        <is>
          <t>14e</t>
        </is>
      </c>
      <c r="U110">
        <f>IF(ISNUMBER(SEARCH("fran",B110)),"France",IF(OR(ISNUMBER(SEARCH("italien",B110)),ISNUMBER(SEARCH("espagn",B110)),ISNUMBER(SEARCH("catalan",B110)),ISNUMBER(SEARCH("flamand",B110)),ISNUMBER(SEARCH("belge",B110)),ISNUMBER(SEARCH("hollandais",B110)),ISNUMBER(SEARCH("néerlandais",B110)),ISNUMBER(SEARCH("allemand",B110)),ISNUMBER(SEARCH("autrichien",B110)),ISNUMBER(SEARCH("suisse",B110)),ISNUMBER(SEARCH("anglais",B110)),ISNUMBER(SEARCH("britannique",B110)),ISNUMBER(SEARCH("écossais",B110)),ISNUMBER(SEARCH("irlandais",B110)),ISNUMBER(SEARCH("russe",B110)),ISNUMBER(SEARCH("portugais",B110)),ISNUMBER(SEARCH("danois",B110)),ISNUMBER(SEARCH("norvégien",B110)),ISNUMBER(SEARCH("suédois",B110)),ISNUMBER(SEARCH("finlandais",B110)),ISNUMBER(SEARCH("polonais",B110)),ISNUMBER(SEARCH("tchèque",B110)),ISNUMBER(SEARCH("hongrois",B110)),ISNUMBER(SEARCH("grec",B110)),ISNUMBER(SEARCH("byzantin",B110)),ISNUMBER(SEARCH("croate",B110)),ISNUMBER(SEARCH("ukrainien",B110)),ISNUMBER(SEARCH("bulgare",B110)),ISNUMBER(SEARCH("biélorusse",B110)),ISNUMBER(SEARCH("maltais",B110))),"Autres pays d'Europe",IF(OR(ISNUMBER(SEARCH("américain",B110)),ISNUMBER(SEARCH("mexicain",B110)),ISNUMBER(SEARCH("canadien",B110)),ISNUMBER(SEARCH("brésilien",B110)),ISNUMBER(SEARCH("argentin",B110))),"Amérique",IF(OR(ISNUMBER(SEARCH("chinois",B110)),ISNUMBER(SEARCH("japonais",B110)),ISNUMBER(SEARCH("coréen",B110)),ISNUMBER(SEARCH("indien",B110)),ISNUMBER(SEARCH("persan",B110)),ISNUMBER(SEARCH("iranien",B110))),"Asie","(non classée)"))))</f>
        <v/>
      </c>
    </row>
    <row r="111">
      <c r="A111" s="2" t="inlineStr">
        <is>
          <t>BARTOLOMEO VIVARINI</t>
        </is>
      </c>
      <c r="B111" s="2" t="inlineStr">
        <is>
          <t>italienne</t>
        </is>
      </c>
      <c r="C111" s="2" t="inlineStr">
        <is>
          <t>peinture</t>
        </is>
      </c>
      <c r="D111" s="2" t="inlineStr">
        <is>
          <t>15e</t>
        </is>
      </c>
      <c r="U111">
        <f>IF(ISNUMBER(SEARCH("fran",B111)),"France",IF(OR(ISNUMBER(SEARCH("italien",B111)),ISNUMBER(SEARCH("espagn",B111)),ISNUMBER(SEARCH("catalan",B111)),ISNUMBER(SEARCH("flamand",B111)),ISNUMBER(SEARCH("belge",B111)),ISNUMBER(SEARCH("hollandais",B111)),ISNUMBER(SEARCH("néerlandais",B111)),ISNUMBER(SEARCH("allemand",B111)),ISNUMBER(SEARCH("autrichien",B111)),ISNUMBER(SEARCH("suisse",B111)),ISNUMBER(SEARCH("anglais",B111)),ISNUMBER(SEARCH("britannique",B111)),ISNUMBER(SEARCH("écossais",B111)),ISNUMBER(SEARCH("irlandais",B111)),ISNUMBER(SEARCH("russe",B111)),ISNUMBER(SEARCH("portugais",B111)),ISNUMBER(SEARCH("danois",B111)),ISNUMBER(SEARCH("norvégien",B111)),ISNUMBER(SEARCH("suédois",B111)),ISNUMBER(SEARCH("finlandais",B111)),ISNUMBER(SEARCH("polonais",B111)),ISNUMBER(SEARCH("tchèque",B111)),ISNUMBER(SEARCH("hongrois",B111)),ISNUMBER(SEARCH("grec",B111)),ISNUMBER(SEARCH("byzantin",B111)),ISNUMBER(SEARCH("croate",B111)),ISNUMBER(SEARCH("ukrainien",B111)),ISNUMBER(SEARCH("bulgare",B111)),ISNUMBER(SEARCH("biélorusse",B111)),ISNUMBER(SEARCH("maltais",B111))),"Autres pays d'Europe",IF(OR(ISNUMBER(SEARCH("américain",B111)),ISNUMBER(SEARCH("mexicain",B111)),ISNUMBER(SEARCH("canadien",B111)),ISNUMBER(SEARCH("brésilien",B111)),ISNUMBER(SEARCH("argentin",B111))),"Amérique",IF(OR(ISNUMBER(SEARCH("chinois",B111)),ISNUMBER(SEARCH("japonais",B111)),ISNUMBER(SEARCH("coréen",B111)),ISNUMBER(SEARCH("indien",B111)),ISNUMBER(SEARCH("persan",B111)),ISNUMBER(SEARCH("iranien",B111))),"Asie","(non classée)"))))</f>
        <v/>
      </c>
    </row>
    <row r="112">
      <c r="A112" s="2" t="inlineStr">
        <is>
          <t>BARTOLOMÉ BERMEJO</t>
        </is>
      </c>
      <c r="B112" s="2" t="inlineStr">
        <is>
          <t>espagnole</t>
        </is>
      </c>
      <c r="C112" s="2" t="inlineStr">
        <is>
          <t>peinture</t>
        </is>
      </c>
      <c r="D112" s="2" t="inlineStr">
        <is>
          <t>15e</t>
        </is>
      </c>
      <c r="U112">
        <f>IF(ISNUMBER(SEARCH("fran",B112)),"France",IF(OR(ISNUMBER(SEARCH("italien",B112)),ISNUMBER(SEARCH("espagn",B112)),ISNUMBER(SEARCH("catalan",B112)),ISNUMBER(SEARCH("flamand",B112)),ISNUMBER(SEARCH("belge",B112)),ISNUMBER(SEARCH("hollandais",B112)),ISNUMBER(SEARCH("néerlandais",B112)),ISNUMBER(SEARCH("allemand",B112)),ISNUMBER(SEARCH("autrichien",B112)),ISNUMBER(SEARCH("suisse",B112)),ISNUMBER(SEARCH("anglais",B112)),ISNUMBER(SEARCH("britannique",B112)),ISNUMBER(SEARCH("écossais",B112)),ISNUMBER(SEARCH("irlandais",B112)),ISNUMBER(SEARCH("russe",B112)),ISNUMBER(SEARCH("portugais",B112)),ISNUMBER(SEARCH("danois",B112)),ISNUMBER(SEARCH("norvégien",B112)),ISNUMBER(SEARCH("suédois",B112)),ISNUMBER(SEARCH("finlandais",B112)),ISNUMBER(SEARCH("polonais",B112)),ISNUMBER(SEARCH("tchèque",B112)),ISNUMBER(SEARCH("hongrois",B112)),ISNUMBER(SEARCH("grec",B112)),ISNUMBER(SEARCH("byzantin",B112)),ISNUMBER(SEARCH("croate",B112)),ISNUMBER(SEARCH("ukrainien",B112)),ISNUMBER(SEARCH("bulgare",B112)),ISNUMBER(SEARCH("biélorusse",B112)),ISNUMBER(SEARCH("maltais",B112))),"Autres pays d'Europe",IF(OR(ISNUMBER(SEARCH("américain",B112)),ISNUMBER(SEARCH("mexicain",B112)),ISNUMBER(SEARCH("canadien",B112)),ISNUMBER(SEARCH("brésilien",B112)),ISNUMBER(SEARCH("argentin",B112))),"Amérique",IF(OR(ISNUMBER(SEARCH("chinois",B112)),ISNUMBER(SEARCH("japonais",B112)),ISNUMBER(SEARCH("coréen",B112)),ISNUMBER(SEARCH("indien",B112)),ISNUMBER(SEARCH("persan",B112)),ISNUMBER(SEARCH("iranien",B112))),"Asie","(non classée)"))))</f>
        <v/>
      </c>
    </row>
    <row r="113">
      <c r="A113" s="2" t="inlineStr">
        <is>
          <t>BARTOLOMÉ ESTEBAN MURILLO</t>
        </is>
      </c>
      <c r="B113" s="2" t="inlineStr">
        <is>
          <t>espagnole</t>
        </is>
      </c>
      <c r="C113" s="2" t="inlineStr">
        <is>
          <t>peinture</t>
        </is>
      </c>
      <c r="D113" s="2" t="inlineStr">
        <is>
          <t>17e</t>
        </is>
      </c>
      <c r="U113">
        <f>IF(ISNUMBER(SEARCH("fran",B113)),"France",IF(OR(ISNUMBER(SEARCH("italien",B113)),ISNUMBER(SEARCH("espagn",B113)),ISNUMBER(SEARCH("catalan",B113)),ISNUMBER(SEARCH("flamand",B113)),ISNUMBER(SEARCH("belge",B113)),ISNUMBER(SEARCH("hollandais",B113)),ISNUMBER(SEARCH("néerlandais",B113)),ISNUMBER(SEARCH("allemand",B113)),ISNUMBER(SEARCH("autrichien",B113)),ISNUMBER(SEARCH("suisse",B113)),ISNUMBER(SEARCH("anglais",B113)),ISNUMBER(SEARCH("britannique",B113)),ISNUMBER(SEARCH("écossais",B113)),ISNUMBER(SEARCH("irlandais",B113)),ISNUMBER(SEARCH("russe",B113)),ISNUMBER(SEARCH("portugais",B113)),ISNUMBER(SEARCH("danois",B113)),ISNUMBER(SEARCH("norvégien",B113)),ISNUMBER(SEARCH("suédois",B113)),ISNUMBER(SEARCH("finlandais",B113)),ISNUMBER(SEARCH("polonais",B113)),ISNUMBER(SEARCH("tchèque",B113)),ISNUMBER(SEARCH("hongrois",B113)),ISNUMBER(SEARCH("grec",B113)),ISNUMBER(SEARCH("byzantin",B113)),ISNUMBER(SEARCH("croate",B113)),ISNUMBER(SEARCH("ukrainien",B113)),ISNUMBER(SEARCH("bulgare",B113)),ISNUMBER(SEARCH("biélorusse",B113)),ISNUMBER(SEARCH("maltais",B113))),"Autres pays d'Europe",IF(OR(ISNUMBER(SEARCH("américain",B113)),ISNUMBER(SEARCH("mexicain",B113)),ISNUMBER(SEARCH("canadien",B113)),ISNUMBER(SEARCH("brésilien",B113)),ISNUMBER(SEARCH("argentin",B113))),"Amérique",IF(OR(ISNUMBER(SEARCH("chinois",B113)),ISNUMBER(SEARCH("japonais",B113)),ISNUMBER(SEARCH("coréen",B113)),ISNUMBER(SEARCH("indien",B113)),ISNUMBER(SEARCH("persan",B113)),ISNUMBER(SEARCH("iranien",B113))),"Asie","(non classée)"))))</f>
        <v/>
      </c>
    </row>
    <row r="114">
      <c r="A114" s="2" t="inlineStr">
        <is>
          <t>BARTOLOMÉ ORDÓÑEZ</t>
        </is>
      </c>
      <c r="B114" s="2" t="inlineStr">
        <is>
          <t>espagnole</t>
        </is>
      </c>
      <c r="C114" s="2" t="inlineStr">
        <is>
          <t>sculpture</t>
        </is>
      </c>
      <c r="D114" s="2" t="inlineStr">
        <is>
          <t>16e</t>
        </is>
      </c>
      <c r="U114">
        <f>IF(ISNUMBER(SEARCH("fran",B114)),"France",IF(OR(ISNUMBER(SEARCH("italien",B114)),ISNUMBER(SEARCH("espagn",B114)),ISNUMBER(SEARCH("catalan",B114)),ISNUMBER(SEARCH("flamand",B114)),ISNUMBER(SEARCH("belge",B114)),ISNUMBER(SEARCH("hollandais",B114)),ISNUMBER(SEARCH("néerlandais",B114)),ISNUMBER(SEARCH("allemand",B114)),ISNUMBER(SEARCH("autrichien",B114)),ISNUMBER(SEARCH("suisse",B114)),ISNUMBER(SEARCH("anglais",B114)),ISNUMBER(SEARCH("britannique",B114)),ISNUMBER(SEARCH("écossais",B114)),ISNUMBER(SEARCH("irlandais",B114)),ISNUMBER(SEARCH("russe",B114)),ISNUMBER(SEARCH("portugais",B114)),ISNUMBER(SEARCH("danois",B114)),ISNUMBER(SEARCH("norvégien",B114)),ISNUMBER(SEARCH("suédois",B114)),ISNUMBER(SEARCH("finlandais",B114)),ISNUMBER(SEARCH("polonais",B114)),ISNUMBER(SEARCH("tchèque",B114)),ISNUMBER(SEARCH("hongrois",B114)),ISNUMBER(SEARCH("grec",B114)),ISNUMBER(SEARCH("byzantin",B114)),ISNUMBER(SEARCH("croate",B114)),ISNUMBER(SEARCH("ukrainien",B114)),ISNUMBER(SEARCH("bulgare",B114)),ISNUMBER(SEARCH("biélorusse",B114)),ISNUMBER(SEARCH("maltais",B114))),"Autres pays d'Europe",IF(OR(ISNUMBER(SEARCH("américain",B114)),ISNUMBER(SEARCH("mexicain",B114)),ISNUMBER(SEARCH("canadien",B114)),ISNUMBER(SEARCH("brésilien",B114)),ISNUMBER(SEARCH("argentin",B114))),"Amérique",IF(OR(ISNUMBER(SEARCH("chinois",B114)),ISNUMBER(SEARCH("japonais",B114)),ISNUMBER(SEARCH("coréen",B114)),ISNUMBER(SEARCH("indien",B114)),ISNUMBER(SEARCH("persan",B114)),ISNUMBER(SEARCH("iranien",B114))),"Asie","(non classée)"))))</f>
        <v/>
      </c>
    </row>
    <row r="115">
      <c r="A115" s="2" t="inlineStr">
        <is>
          <t>BARTÉLEMY D'EYCK</t>
        </is>
      </c>
      <c r="B115" s="2" t="inlineStr">
        <is>
          <t>française</t>
        </is>
      </c>
      <c r="C115" s="2" t="inlineStr">
        <is>
          <t>peinture</t>
        </is>
      </c>
      <c r="D115" s="2" t="inlineStr">
        <is>
          <t>15e</t>
        </is>
      </c>
      <c r="U115">
        <f>IF(ISNUMBER(SEARCH("fran",B115)),"France",IF(OR(ISNUMBER(SEARCH("italien",B115)),ISNUMBER(SEARCH("espagn",B115)),ISNUMBER(SEARCH("catalan",B115)),ISNUMBER(SEARCH("flamand",B115)),ISNUMBER(SEARCH("belge",B115)),ISNUMBER(SEARCH("hollandais",B115)),ISNUMBER(SEARCH("néerlandais",B115)),ISNUMBER(SEARCH("allemand",B115)),ISNUMBER(SEARCH("autrichien",B115)),ISNUMBER(SEARCH("suisse",B115)),ISNUMBER(SEARCH("anglais",B115)),ISNUMBER(SEARCH("britannique",B115)),ISNUMBER(SEARCH("écossais",B115)),ISNUMBER(SEARCH("irlandais",B115)),ISNUMBER(SEARCH("russe",B115)),ISNUMBER(SEARCH("portugais",B115)),ISNUMBER(SEARCH("danois",B115)),ISNUMBER(SEARCH("norvégien",B115)),ISNUMBER(SEARCH("suédois",B115)),ISNUMBER(SEARCH("finlandais",B115)),ISNUMBER(SEARCH("polonais",B115)),ISNUMBER(SEARCH("tchèque",B115)),ISNUMBER(SEARCH("hongrois",B115)),ISNUMBER(SEARCH("grec",B115)),ISNUMBER(SEARCH("byzantin",B115)),ISNUMBER(SEARCH("croate",B115)),ISNUMBER(SEARCH("ukrainien",B115)),ISNUMBER(SEARCH("bulgare",B115)),ISNUMBER(SEARCH("biélorusse",B115)),ISNUMBER(SEARCH("maltais",B115))),"Autres pays d'Europe",IF(OR(ISNUMBER(SEARCH("américain",B115)),ISNUMBER(SEARCH("mexicain",B115)),ISNUMBER(SEARCH("canadien",B115)),ISNUMBER(SEARCH("brésilien",B115)),ISNUMBER(SEARCH("argentin",B115))),"Amérique",IF(OR(ISNUMBER(SEARCH("chinois",B115)),ISNUMBER(SEARCH("japonais",B115)),ISNUMBER(SEARCH("coréen",B115)),ISNUMBER(SEARCH("indien",B115)),ISNUMBER(SEARCH("persan",B115)),ISNUMBER(SEARCH("iranien",B115))),"Asie","(non classée)"))))</f>
        <v/>
      </c>
    </row>
    <row r="116">
      <c r="A116" s="2" t="inlineStr">
        <is>
          <t>BELA LYON PRATT</t>
        </is>
      </c>
      <c r="B116" s="2" t="inlineStr">
        <is>
          <t>américaine</t>
        </is>
      </c>
      <c r="C116" s="2" t="inlineStr">
        <is>
          <t>sculpture</t>
        </is>
      </c>
      <c r="D116" s="2" t="inlineStr">
        <is>
          <t>20e</t>
        </is>
      </c>
      <c r="U116">
        <f>IF(ISNUMBER(SEARCH("fran",B116)),"France",IF(OR(ISNUMBER(SEARCH("italien",B116)),ISNUMBER(SEARCH("espagn",B116)),ISNUMBER(SEARCH("catalan",B116)),ISNUMBER(SEARCH("flamand",B116)),ISNUMBER(SEARCH("belge",B116)),ISNUMBER(SEARCH("hollandais",B116)),ISNUMBER(SEARCH("néerlandais",B116)),ISNUMBER(SEARCH("allemand",B116)),ISNUMBER(SEARCH("autrichien",B116)),ISNUMBER(SEARCH("suisse",B116)),ISNUMBER(SEARCH("anglais",B116)),ISNUMBER(SEARCH("britannique",B116)),ISNUMBER(SEARCH("écossais",B116)),ISNUMBER(SEARCH("irlandais",B116)),ISNUMBER(SEARCH("russe",B116)),ISNUMBER(SEARCH("portugais",B116)),ISNUMBER(SEARCH("danois",B116)),ISNUMBER(SEARCH("norvégien",B116)),ISNUMBER(SEARCH("suédois",B116)),ISNUMBER(SEARCH("finlandais",B116)),ISNUMBER(SEARCH("polonais",B116)),ISNUMBER(SEARCH("tchèque",B116)),ISNUMBER(SEARCH("hongrois",B116)),ISNUMBER(SEARCH("grec",B116)),ISNUMBER(SEARCH("byzantin",B116)),ISNUMBER(SEARCH("croate",B116)),ISNUMBER(SEARCH("ukrainien",B116)),ISNUMBER(SEARCH("bulgare",B116)),ISNUMBER(SEARCH("biélorusse",B116)),ISNUMBER(SEARCH("maltais",B116))),"Autres pays d'Europe",IF(OR(ISNUMBER(SEARCH("américain",B116)),ISNUMBER(SEARCH("mexicain",B116)),ISNUMBER(SEARCH("canadien",B116)),ISNUMBER(SEARCH("brésilien",B116)),ISNUMBER(SEARCH("argentin",B116))),"Amérique",IF(OR(ISNUMBER(SEARCH("chinois",B116)),ISNUMBER(SEARCH("japonais",B116)),ISNUMBER(SEARCH("coréen",B116)),ISNUMBER(SEARCH("indien",B116)),ISNUMBER(SEARCH("persan",B116)),ISNUMBER(SEARCH("iranien",B116))),"Asie","(non classée)"))))</f>
        <v/>
      </c>
    </row>
    <row r="117">
      <c r="A117" s="2" t="inlineStr">
        <is>
          <t>BENEDETTO DA MAIANO</t>
        </is>
      </c>
      <c r="B117" s="2" t="inlineStr">
        <is>
          <t>italienne</t>
        </is>
      </c>
      <c r="C117" s="2" t="inlineStr">
        <is>
          <t>sculpture</t>
        </is>
      </c>
      <c r="D117" s="2" t="inlineStr">
        <is>
          <t>15e</t>
        </is>
      </c>
      <c r="U117">
        <f>IF(ISNUMBER(SEARCH("fran",B117)),"France",IF(OR(ISNUMBER(SEARCH("italien",B117)),ISNUMBER(SEARCH("espagn",B117)),ISNUMBER(SEARCH("catalan",B117)),ISNUMBER(SEARCH("flamand",B117)),ISNUMBER(SEARCH("belge",B117)),ISNUMBER(SEARCH("hollandais",B117)),ISNUMBER(SEARCH("néerlandais",B117)),ISNUMBER(SEARCH("allemand",B117)),ISNUMBER(SEARCH("autrichien",B117)),ISNUMBER(SEARCH("suisse",B117)),ISNUMBER(SEARCH("anglais",B117)),ISNUMBER(SEARCH("britannique",B117)),ISNUMBER(SEARCH("écossais",B117)),ISNUMBER(SEARCH("irlandais",B117)),ISNUMBER(SEARCH("russe",B117)),ISNUMBER(SEARCH("portugais",B117)),ISNUMBER(SEARCH("danois",B117)),ISNUMBER(SEARCH("norvégien",B117)),ISNUMBER(SEARCH("suédois",B117)),ISNUMBER(SEARCH("finlandais",B117)),ISNUMBER(SEARCH("polonais",B117)),ISNUMBER(SEARCH("tchèque",B117)),ISNUMBER(SEARCH("hongrois",B117)),ISNUMBER(SEARCH("grec",B117)),ISNUMBER(SEARCH("byzantin",B117)),ISNUMBER(SEARCH("croate",B117)),ISNUMBER(SEARCH("ukrainien",B117)),ISNUMBER(SEARCH("bulgare",B117)),ISNUMBER(SEARCH("biélorusse",B117)),ISNUMBER(SEARCH("maltais",B117))),"Autres pays d'Europe",IF(OR(ISNUMBER(SEARCH("américain",B117)),ISNUMBER(SEARCH("mexicain",B117)),ISNUMBER(SEARCH("canadien",B117)),ISNUMBER(SEARCH("brésilien",B117)),ISNUMBER(SEARCH("argentin",B117))),"Amérique",IF(OR(ISNUMBER(SEARCH("chinois",B117)),ISNUMBER(SEARCH("japonais",B117)),ISNUMBER(SEARCH("coréen",B117)),ISNUMBER(SEARCH("indien",B117)),ISNUMBER(SEARCH("persan",B117)),ISNUMBER(SEARCH("iranien",B117))),"Asie","(non classée)"))))</f>
        <v/>
      </c>
    </row>
    <row r="118">
      <c r="A118" s="2" t="inlineStr">
        <is>
          <t>BENEDIKT DREYER</t>
        </is>
      </c>
      <c r="B118" s="2" t="inlineStr">
        <is>
          <t>allemande</t>
        </is>
      </c>
      <c r="C118" s="2" t="inlineStr">
        <is>
          <t>sculpture</t>
        </is>
      </c>
      <c r="D118" s="2" t="inlineStr">
        <is>
          <t>16e</t>
        </is>
      </c>
      <c r="U118">
        <f>IF(ISNUMBER(SEARCH("fran",B118)),"France",IF(OR(ISNUMBER(SEARCH("italien",B118)),ISNUMBER(SEARCH("espagn",B118)),ISNUMBER(SEARCH("catalan",B118)),ISNUMBER(SEARCH("flamand",B118)),ISNUMBER(SEARCH("belge",B118)),ISNUMBER(SEARCH("hollandais",B118)),ISNUMBER(SEARCH("néerlandais",B118)),ISNUMBER(SEARCH("allemand",B118)),ISNUMBER(SEARCH("autrichien",B118)),ISNUMBER(SEARCH("suisse",B118)),ISNUMBER(SEARCH("anglais",B118)),ISNUMBER(SEARCH("britannique",B118)),ISNUMBER(SEARCH("écossais",B118)),ISNUMBER(SEARCH("irlandais",B118)),ISNUMBER(SEARCH("russe",B118)),ISNUMBER(SEARCH("portugais",B118)),ISNUMBER(SEARCH("danois",B118)),ISNUMBER(SEARCH("norvégien",B118)),ISNUMBER(SEARCH("suédois",B118)),ISNUMBER(SEARCH("finlandais",B118)),ISNUMBER(SEARCH("polonais",B118)),ISNUMBER(SEARCH("tchèque",B118)),ISNUMBER(SEARCH("hongrois",B118)),ISNUMBER(SEARCH("grec",B118)),ISNUMBER(SEARCH("byzantin",B118)),ISNUMBER(SEARCH("croate",B118)),ISNUMBER(SEARCH("ukrainien",B118)),ISNUMBER(SEARCH("bulgare",B118)),ISNUMBER(SEARCH("biélorusse",B118)),ISNUMBER(SEARCH("maltais",B118))),"Autres pays d'Europe",IF(OR(ISNUMBER(SEARCH("américain",B118)),ISNUMBER(SEARCH("mexicain",B118)),ISNUMBER(SEARCH("canadien",B118)),ISNUMBER(SEARCH("brésilien",B118)),ISNUMBER(SEARCH("argentin",B118))),"Amérique",IF(OR(ISNUMBER(SEARCH("chinois",B118)),ISNUMBER(SEARCH("japonais",B118)),ISNUMBER(SEARCH("coréen",B118)),ISNUMBER(SEARCH("indien",B118)),ISNUMBER(SEARCH("persan",B118)),ISNUMBER(SEARCH("iranien",B118))),"Asie","(non classée)"))))</f>
        <v/>
      </c>
    </row>
    <row r="119">
      <c r="A119" s="2" t="inlineStr">
        <is>
          <t>BENJAMIN WEST</t>
        </is>
      </c>
      <c r="B119" s="2" t="inlineStr">
        <is>
          <t>américaine</t>
        </is>
      </c>
      <c r="C119" s="2" t="inlineStr">
        <is>
          <t>peinture</t>
        </is>
      </c>
      <c r="D119" s="2" t="inlineStr">
        <is>
          <t>18e</t>
        </is>
      </c>
      <c r="U119">
        <f>IF(ISNUMBER(SEARCH("fran",B119)),"France",IF(OR(ISNUMBER(SEARCH("italien",B119)),ISNUMBER(SEARCH("espagn",B119)),ISNUMBER(SEARCH("catalan",B119)),ISNUMBER(SEARCH("flamand",B119)),ISNUMBER(SEARCH("belge",B119)),ISNUMBER(SEARCH("hollandais",B119)),ISNUMBER(SEARCH("néerlandais",B119)),ISNUMBER(SEARCH("allemand",B119)),ISNUMBER(SEARCH("autrichien",B119)),ISNUMBER(SEARCH("suisse",B119)),ISNUMBER(SEARCH("anglais",B119)),ISNUMBER(SEARCH("britannique",B119)),ISNUMBER(SEARCH("écossais",B119)),ISNUMBER(SEARCH("irlandais",B119)),ISNUMBER(SEARCH("russe",B119)),ISNUMBER(SEARCH("portugais",B119)),ISNUMBER(SEARCH("danois",B119)),ISNUMBER(SEARCH("norvégien",B119)),ISNUMBER(SEARCH("suédois",B119)),ISNUMBER(SEARCH("finlandais",B119)),ISNUMBER(SEARCH("polonais",B119)),ISNUMBER(SEARCH("tchèque",B119)),ISNUMBER(SEARCH("hongrois",B119)),ISNUMBER(SEARCH("grec",B119)),ISNUMBER(SEARCH("byzantin",B119)),ISNUMBER(SEARCH("croate",B119)),ISNUMBER(SEARCH("ukrainien",B119)),ISNUMBER(SEARCH("bulgare",B119)),ISNUMBER(SEARCH("biélorusse",B119)),ISNUMBER(SEARCH("maltais",B119))),"Autres pays d'Europe",IF(OR(ISNUMBER(SEARCH("américain",B119)),ISNUMBER(SEARCH("mexicain",B119)),ISNUMBER(SEARCH("canadien",B119)),ISNUMBER(SEARCH("brésilien",B119)),ISNUMBER(SEARCH("argentin",B119))),"Amérique",IF(OR(ISNUMBER(SEARCH("chinois",B119)),ISNUMBER(SEARCH("japonais",B119)),ISNUMBER(SEARCH("coréen",B119)),ISNUMBER(SEARCH("indien",B119)),ISNUMBER(SEARCH("persan",B119)),ISNUMBER(SEARCH("iranien",B119))),"Asie","(non classée)"))))</f>
        <v/>
      </c>
    </row>
    <row r="120">
      <c r="A120" s="2" t="inlineStr">
        <is>
          <t>BENOZZO GOZZOLI</t>
        </is>
      </c>
      <c r="B120" s="2" t="inlineStr">
        <is>
          <t>italienne</t>
        </is>
      </c>
      <c r="C120" s="2" t="inlineStr">
        <is>
          <t>peinture</t>
        </is>
      </c>
      <c r="D120" s="2" t="inlineStr">
        <is>
          <t>15e</t>
        </is>
      </c>
      <c r="U120">
        <f>IF(ISNUMBER(SEARCH("fran",B120)),"France",IF(OR(ISNUMBER(SEARCH("italien",B120)),ISNUMBER(SEARCH("espagn",B120)),ISNUMBER(SEARCH("catalan",B120)),ISNUMBER(SEARCH("flamand",B120)),ISNUMBER(SEARCH("belge",B120)),ISNUMBER(SEARCH("hollandais",B120)),ISNUMBER(SEARCH("néerlandais",B120)),ISNUMBER(SEARCH("allemand",B120)),ISNUMBER(SEARCH("autrichien",B120)),ISNUMBER(SEARCH("suisse",B120)),ISNUMBER(SEARCH("anglais",B120)),ISNUMBER(SEARCH("britannique",B120)),ISNUMBER(SEARCH("écossais",B120)),ISNUMBER(SEARCH("irlandais",B120)),ISNUMBER(SEARCH("russe",B120)),ISNUMBER(SEARCH("portugais",B120)),ISNUMBER(SEARCH("danois",B120)),ISNUMBER(SEARCH("norvégien",B120)),ISNUMBER(SEARCH("suédois",B120)),ISNUMBER(SEARCH("finlandais",B120)),ISNUMBER(SEARCH("polonais",B120)),ISNUMBER(SEARCH("tchèque",B120)),ISNUMBER(SEARCH("hongrois",B120)),ISNUMBER(SEARCH("grec",B120)),ISNUMBER(SEARCH("byzantin",B120)),ISNUMBER(SEARCH("croate",B120)),ISNUMBER(SEARCH("ukrainien",B120)),ISNUMBER(SEARCH("bulgare",B120)),ISNUMBER(SEARCH("biélorusse",B120)),ISNUMBER(SEARCH("maltais",B120))),"Autres pays d'Europe",IF(OR(ISNUMBER(SEARCH("américain",B120)),ISNUMBER(SEARCH("mexicain",B120)),ISNUMBER(SEARCH("canadien",B120)),ISNUMBER(SEARCH("brésilien",B120)),ISNUMBER(SEARCH("argentin",B120))),"Amérique",IF(OR(ISNUMBER(SEARCH("chinois",B120)),ISNUMBER(SEARCH("japonais",B120)),ISNUMBER(SEARCH("coréen",B120)),ISNUMBER(SEARCH("indien",B120)),ISNUMBER(SEARCH("persan",B120)),ISNUMBER(SEARCH("iranien",B120))),"Asie","(non classée)"))))</f>
        <v/>
      </c>
    </row>
    <row r="121">
      <c r="A121" s="2" t="inlineStr">
        <is>
          <t>BENVENUTO CELLINI</t>
        </is>
      </c>
      <c r="B121" s="2" t="inlineStr">
        <is>
          <t>italienne</t>
        </is>
      </c>
      <c r="C121" s="2" t="inlineStr">
        <is>
          <t>sculpture</t>
        </is>
      </c>
      <c r="D121" s="2" t="inlineStr">
        <is>
          <t>16e</t>
        </is>
      </c>
      <c r="U121">
        <f>IF(ISNUMBER(SEARCH("fran",B121)),"France",IF(OR(ISNUMBER(SEARCH("italien",B121)),ISNUMBER(SEARCH("espagn",B121)),ISNUMBER(SEARCH("catalan",B121)),ISNUMBER(SEARCH("flamand",B121)),ISNUMBER(SEARCH("belge",B121)),ISNUMBER(SEARCH("hollandais",B121)),ISNUMBER(SEARCH("néerlandais",B121)),ISNUMBER(SEARCH("allemand",B121)),ISNUMBER(SEARCH("autrichien",B121)),ISNUMBER(SEARCH("suisse",B121)),ISNUMBER(SEARCH("anglais",B121)),ISNUMBER(SEARCH("britannique",B121)),ISNUMBER(SEARCH("écossais",B121)),ISNUMBER(SEARCH("irlandais",B121)),ISNUMBER(SEARCH("russe",B121)),ISNUMBER(SEARCH("portugais",B121)),ISNUMBER(SEARCH("danois",B121)),ISNUMBER(SEARCH("norvégien",B121)),ISNUMBER(SEARCH("suédois",B121)),ISNUMBER(SEARCH("finlandais",B121)),ISNUMBER(SEARCH("polonais",B121)),ISNUMBER(SEARCH("tchèque",B121)),ISNUMBER(SEARCH("hongrois",B121)),ISNUMBER(SEARCH("grec",B121)),ISNUMBER(SEARCH("byzantin",B121)),ISNUMBER(SEARCH("croate",B121)),ISNUMBER(SEARCH("ukrainien",B121)),ISNUMBER(SEARCH("bulgare",B121)),ISNUMBER(SEARCH("biélorusse",B121)),ISNUMBER(SEARCH("maltais",B121))),"Autres pays d'Europe",IF(OR(ISNUMBER(SEARCH("américain",B121)),ISNUMBER(SEARCH("mexicain",B121)),ISNUMBER(SEARCH("canadien",B121)),ISNUMBER(SEARCH("brésilien",B121)),ISNUMBER(SEARCH("argentin",B121))),"Amérique",IF(OR(ISNUMBER(SEARCH("chinois",B121)),ISNUMBER(SEARCH("japonais",B121)),ISNUMBER(SEARCH("coréen",B121)),ISNUMBER(SEARCH("indien",B121)),ISNUMBER(SEARCH("persan",B121)),ISNUMBER(SEARCH("iranien",B121))),"Asie","(non classée)"))))</f>
        <v/>
      </c>
    </row>
    <row r="122">
      <c r="A122" s="2" t="inlineStr">
        <is>
          <t>BERNARDINO LUINI</t>
        </is>
      </c>
      <c r="B122" s="2" t="inlineStr">
        <is>
          <t>italienne</t>
        </is>
      </c>
      <c r="C122" s="2" t="inlineStr">
        <is>
          <t>peinture</t>
        </is>
      </c>
      <c r="D122" s="2" t="inlineStr">
        <is>
          <t>16e</t>
        </is>
      </c>
      <c r="U122">
        <f>IF(ISNUMBER(SEARCH("fran",B122)),"France",IF(OR(ISNUMBER(SEARCH("italien",B122)),ISNUMBER(SEARCH("espagn",B122)),ISNUMBER(SEARCH("catalan",B122)),ISNUMBER(SEARCH("flamand",B122)),ISNUMBER(SEARCH("belge",B122)),ISNUMBER(SEARCH("hollandais",B122)),ISNUMBER(SEARCH("néerlandais",B122)),ISNUMBER(SEARCH("allemand",B122)),ISNUMBER(SEARCH("autrichien",B122)),ISNUMBER(SEARCH("suisse",B122)),ISNUMBER(SEARCH("anglais",B122)),ISNUMBER(SEARCH("britannique",B122)),ISNUMBER(SEARCH("écossais",B122)),ISNUMBER(SEARCH("irlandais",B122)),ISNUMBER(SEARCH("russe",B122)),ISNUMBER(SEARCH("portugais",B122)),ISNUMBER(SEARCH("danois",B122)),ISNUMBER(SEARCH("norvégien",B122)),ISNUMBER(SEARCH("suédois",B122)),ISNUMBER(SEARCH("finlandais",B122)),ISNUMBER(SEARCH("polonais",B122)),ISNUMBER(SEARCH("tchèque",B122)),ISNUMBER(SEARCH("hongrois",B122)),ISNUMBER(SEARCH("grec",B122)),ISNUMBER(SEARCH("byzantin",B122)),ISNUMBER(SEARCH("croate",B122)),ISNUMBER(SEARCH("ukrainien",B122)),ISNUMBER(SEARCH("bulgare",B122)),ISNUMBER(SEARCH("biélorusse",B122)),ISNUMBER(SEARCH("maltais",B122))),"Autres pays d'Europe",IF(OR(ISNUMBER(SEARCH("américain",B122)),ISNUMBER(SEARCH("mexicain",B122)),ISNUMBER(SEARCH("canadien",B122)),ISNUMBER(SEARCH("brésilien",B122)),ISNUMBER(SEARCH("argentin",B122))),"Amérique",IF(OR(ISNUMBER(SEARCH("chinois",B122)),ISNUMBER(SEARCH("japonais",B122)),ISNUMBER(SEARCH("coréen",B122)),ISNUMBER(SEARCH("indien",B122)),ISNUMBER(SEARCH("persan",B122)),ISNUMBER(SEARCH("iranien",B122))),"Asie","(non classée)"))))</f>
        <v/>
      </c>
    </row>
    <row r="123">
      <c r="A123" s="2" t="inlineStr">
        <is>
          <t>BERNARDO BELLOTTO</t>
        </is>
      </c>
      <c r="B123" s="2" t="inlineStr">
        <is>
          <t>italienne</t>
        </is>
      </c>
      <c r="C123" s="2" t="inlineStr">
        <is>
          <t>peinture</t>
        </is>
      </c>
      <c r="D123" s="2" t="inlineStr">
        <is>
          <t>18e</t>
        </is>
      </c>
      <c r="U123">
        <f>IF(ISNUMBER(SEARCH("fran",B123)),"France",IF(OR(ISNUMBER(SEARCH("italien",B123)),ISNUMBER(SEARCH("espagn",B123)),ISNUMBER(SEARCH("catalan",B123)),ISNUMBER(SEARCH("flamand",B123)),ISNUMBER(SEARCH("belge",B123)),ISNUMBER(SEARCH("hollandais",B123)),ISNUMBER(SEARCH("néerlandais",B123)),ISNUMBER(SEARCH("allemand",B123)),ISNUMBER(SEARCH("autrichien",B123)),ISNUMBER(SEARCH("suisse",B123)),ISNUMBER(SEARCH("anglais",B123)),ISNUMBER(SEARCH("britannique",B123)),ISNUMBER(SEARCH("écossais",B123)),ISNUMBER(SEARCH("irlandais",B123)),ISNUMBER(SEARCH("russe",B123)),ISNUMBER(SEARCH("portugais",B123)),ISNUMBER(SEARCH("danois",B123)),ISNUMBER(SEARCH("norvégien",B123)),ISNUMBER(SEARCH("suédois",B123)),ISNUMBER(SEARCH("finlandais",B123)),ISNUMBER(SEARCH("polonais",B123)),ISNUMBER(SEARCH("tchèque",B123)),ISNUMBER(SEARCH("hongrois",B123)),ISNUMBER(SEARCH("grec",B123)),ISNUMBER(SEARCH("byzantin",B123)),ISNUMBER(SEARCH("croate",B123)),ISNUMBER(SEARCH("ukrainien",B123)),ISNUMBER(SEARCH("bulgare",B123)),ISNUMBER(SEARCH("biélorusse",B123)),ISNUMBER(SEARCH("maltais",B123))),"Autres pays d'Europe",IF(OR(ISNUMBER(SEARCH("américain",B123)),ISNUMBER(SEARCH("mexicain",B123)),ISNUMBER(SEARCH("canadien",B123)),ISNUMBER(SEARCH("brésilien",B123)),ISNUMBER(SEARCH("argentin",B123))),"Amérique",IF(OR(ISNUMBER(SEARCH("chinois",B123)),ISNUMBER(SEARCH("japonais",B123)),ISNUMBER(SEARCH("coréen",B123)),ISNUMBER(SEARCH("indien",B123)),ISNUMBER(SEARCH("persan",B123)),ISNUMBER(SEARCH("iranien",B123))),"Asie","(non classée)"))))</f>
        <v/>
      </c>
    </row>
    <row r="124">
      <c r="A124" s="2" t="inlineStr">
        <is>
          <t>BERNARDO DADDI</t>
        </is>
      </c>
      <c r="B124" s="2" t="inlineStr">
        <is>
          <t>italienne</t>
        </is>
      </c>
      <c r="C124" s="2" t="inlineStr">
        <is>
          <t>peinture</t>
        </is>
      </c>
      <c r="D124" s="2" t="inlineStr">
        <is>
          <t>14e</t>
        </is>
      </c>
      <c r="U124">
        <f>IF(ISNUMBER(SEARCH("fran",B124)),"France",IF(OR(ISNUMBER(SEARCH("italien",B124)),ISNUMBER(SEARCH("espagn",B124)),ISNUMBER(SEARCH("catalan",B124)),ISNUMBER(SEARCH("flamand",B124)),ISNUMBER(SEARCH("belge",B124)),ISNUMBER(SEARCH("hollandais",B124)),ISNUMBER(SEARCH("néerlandais",B124)),ISNUMBER(SEARCH("allemand",B124)),ISNUMBER(SEARCH("autrichien",B124)),ISNUMBER(SEARCH("suisse",B124)),ISNUMBER(SEARCH("anglais",B124)),ISNUMBER(SEARCH("britannique",B124)),ISNUMBER(SEARCH("écossais",B124)),ISNUMBER(SEARCH("irlandais",B124)),ISNUMBER(SEARCH("russe",B124)),ISNUMBER(SEARCH("portugais",B124)),ISNUMBER(SEARCH("danois",B124)),ISNUMBER(SEARCH("norvégien",B124)),ISNUMBER(SEARCH("suédois",B124)),ISNUMBER(SEARCH("finlandais",B124)),ISNUMBER(SEARCH("polonais",B124)),ISNUMBER(SEARCH("tchèque",B124)),ISNUMBER(SEARCH("hongrois",B124)),ISNUMBER(SEARCH("grec",B124)),ISNUMBER(SEARCH("byzantin",B124)),ISNUMBER(SEARCH("croate",B124)),ISNUMBER(SEARCH("ukrainien",B124)),ISNUMBER(SEARCH("bulgare",B124)),ISNUMBER(SEARCH("biélorusse",B124)),ISNUMBER(SEARCH("maltais",B124))),"Autres pays d'Europe",IF(OR(ISNUMBER(SEARCH("américain",B124)),ISNUMBER(SEARCH("mexicain",B124)),ISNUMBER(SEARCH("canadien",B124)),ISNUMBER(SEARCH("brésilien",B124)),ISNUMBER(SEARCH("argentin",B124))),"Amérique",IF(OR(ISNUMBER(SEARCH("chinois",B124)),ISNUMBER(SEARCH("japonais",B124)),ISNUMBER(SEARCH("coréen",B124)),ISNUMBER(SEARCH("indien",B124)),ISNUMBER(SEARCH("persan",B124)),ISNUMBER(SEARCH("iranien",B124))),"Asie","(non classée)"))))</f>
        <v/>
      </c>
    </row>
    <row r="125">
      <c r="A125" s="2" t="inlineStr">
        <is>
          <t>BERNARDO ROSSELLINO</t>
        </is>
      </c>
      <c r="B125" s="2" t="inlineStr">
        <is>
          <t>italienne</t>
        </is>
      </c>
      <c r="C125" s="2" t="inlineStr">
        <is>
          <t>sculpture</t>
        </is>
      </c>
      <c r="D125" s="2" t="inlineStr">
        <is>
          <t>15e</t>
        </is>
      </c>
      <c r="U125">
        <f>IF(ISNUMBER(SEARCH("fran",B125)),"France",IF(OR(ISNUMBER(SEARCH("italien",B125)),ISNUMBER(SEARCH("espagn",B125)),ISNUMBER(SEARCH("catalan",B125)),ISNUMBER(SEARCH("flamand",B125)),ISNUMBER(SEARCH("belge",B125)),ISNUMBER(SEARCH("hollandais",B125)),ISNUMBER(SEARCH("néerlandais",B125)),ISNUMBER(SEARCH("allemand",B125)),ISNUMBER(SEARCH("autrichien",B125)),ISNUMBER(SEARCH("suisse",B125)),ISNUMBER(SEARCH("anglais",B125)),ISNUMBER(SEARCH("britannique",B125)),ISNUMBER(SEARCH("écossais",B125)),ISNUMBER(SEARCH("irlandais",B125)),ISNUMBER(SEARCH("russe",B125)),ISNUMBER(SEARCH("portugais",B125)),ISNUMBER(SEARCH("danois",B125)),ISNUMBER(SEARCH("norvégien",B125)),ISNUMBER(SEARCH("suédois",B125)),ISNUMBER(SEARCH("finlandais",B125)),ISNUMBER(SEARCH("polonais",B125)),ISNUMBER(SEARCH("tchèque",B125)),ISNUMBER(SEARCH("hongrois",B125)),ISNUMBER(SEARCH("grec",B125)),ISNUMBER(SEARCH("byzantin",B125)),ISNUMBER(SEARCH("croate",B125)),ISNUMBER(SEARCH("ukrainien",B125)),ISNUMBER(SEARCH("bulgare",B125)),ISNUMBER(SEARCH("biélorusse",B125)),ISNUMBER(SEARCH("maltais",B125))),"Autres pays d'Europe",IF(OR(ISNUMBER(SEARCH("américain",B125)),ISNUMBER(SEARCH("mexicain",B125)),ISNUMBER(SEARCH("canadien",B125)),ISNUMBER(SEARCH("brésilien",B125)),ISNUMBER(SEARCH("argentin",B125))),"Amérique",IF(OR(ISNUMBER(SEARCH("chinois",B125)),ISNUMBER(SEARCH("japonais",B125)),ISNUMBER(SEARCH("coréen",B125)),ISNUMBER(SEARCH("indien",B125)),ISNUMBER(SEARCH("persan",B125)),ISNUMBER(SEARCH("iranien",B125))),"Asie","(non classée)"))))</f>
        <v/>
      </c>
    </row>
    <row r="126">
      <c r="A126" s="2" t="inlineStr">
        <is>
          <t>BERNARDO STROZZI</t>
        </is>
      </c>
      <c r="B126" s="2" t="inlineStr">
        <is>
          <t>italienne</t>
        </is>
      </c>
      <c r="C126" s="2" t="inlineStr">
        <is>
          <t>peinture</t>
        </is>
      </c>
      <c r="D126" s="2" t="inlineStr">
        <is>
          <t>17e</t>
        </is>
      </c>
      <c r="U126">
        <f>IF(ISNUMBER(SEARCH("fran",B126)),"France",IF(OR(ISNUMBER(SEARCH("italien",B126)),ISNUMBER(SEARCH("espagn",B126)),ISNUMBER(SEARCH("catalan",B126)),ISNUMBER(SEARCH("flamand",B126)),ISNUMBER(SEARCH("belge",B126)),ISNUMBER(SEARCH("hollandais",B126)),ISNUMBER(SEARCH("néerlandais",B126)),ISNUMBER(SEARCH("allemand",B126)),ISNUMBER(SEARCH("autrichien",B126)),ISNUMBER(SEARCH("suisse",B126)),ISNUMBER(SEARCH("anglais",B126)),ISNUMBER(SEARCH("britannique",B126)),ISNUMBER(SEARCH("écossais",B126)),ISNUMBER(SEARCH("irlandais",B126)),ISNUMBER(SEARCH("russe",B126)),ISNUMBER(SEARCH("portugais",B126)),ISNUMBER(SEARCH("danois",B126)),ISNUMBER(SEARCH("norvégien",B126)),ISNUMBER(SEARCH("suédois",B126)),ISNUMBER(SEARCH("finlandais",B126)),ISNUMBER(SEARCH("polonais",B126)),ISNUMBER(SEARCH("tchèque",B126)),ISNUMBER(SEARCH("hongrois",B126)),ISNUMBER(SEARCH("grec",B126)),ISNUMBER(SEARCH("byzantin",B126)),ISNUMBER(SEARCH("croate",B126)),ISNUMBER(SEARCH("ukrainien",B126)),ISNUMBER(SEARCH("bulgare",B126)),ISNUMBER(SEARCH("biélorusse",B126)),ISNUMBER(SEARCH("maltais",B126))),"Autres pays d'Europe",IF(OR(ISNUMBER(SEARCH("américain",B126)),ISNUMBER(SEARCH("mexicain",B126)),ISNUMBER(SEARCH("canadien",B126)),ISNUMBER(SEARCH("brésilien",B126)),ISNUMBER(SEARCH("argentin",B126))),"Amérique",IF(OR(ISNUMBER(SEARCH("chinois",B126)),ISNUMBER(SEARCH("japonais",B126)),ISNUMBER(SEARCH("coréen",B126)),ISNUMBER(SEARCH("indien",B126)),ISNUMBER(SEARCH("persan",B126)),ISNUMBER(SEARCH("iranien",B126))),"Asie","(non classée)"))))</f>
        <v/>
      </c>
    </row>
    <row r="127">
      <c r="A127" s="2" t="inlineStr">
        <is>
          <t>BERTEL THORVALDSEN</t>
        </is>
      </c>
      <c r="B127" s="2" t="inlineStr">
        <is>
          <t>danoise</t>
        </is>
      </c>
      <c r="C127" s="2" t="inlineStr">
        <is>
          <t>sculpture</t>
        </is>
      </c>
      <c r="D127" s="2" t="inlineStr">
        <is>
          <t>19e</t>
        </is>
      </c>
      <c r="U127">
        <f>IF(ISNUMBER(SEARCH("fran",B127)),"France",IF(OR(ISNUMBER(SEARCH("italien",B127)),ISNUMBER(SEARCH("espagn",B127)),ISNUMBER(SEARCH("catalan",B127)),ISNUMBER(SEARCH("flamand",B127)),ISNUMBER(SEARCH("belge",B127)),ISNUMBER(SEARCH("hollandais",B127)),ISNUMBER(SEARCH("néerlandais",B127)),ISNUMBER(SEARCH("allemand",B127)),ISNUMBER(SEARCH("autrichien",B127)),ISNUMBER(SEARCH("suisse",B127)),ISNUMBER(SEARCH("anglais",B127)),ISNUMBER(SEARCH("britannique",B127)),ISNUMBER(SEARCH("écossais",B127)),ISNUMBER(SEARCH("irlandais",B127)),ISNUMBER(SEARCH("russe",B127)),ISNUMBER(SEARCH("portugais",B127)),ISNUMBER(SEARCH("danois",B127)),ISNUMBER(SEARCH("norvégien",B127)),ISNUMBER(SEARCH("suédois",B127)),ISNUMBER(SEARCH("finlandais",B127)),ISNUMBER(SEARCH("polonais",B127)),ISNUMBER(SEARCH("tchèque",B127)),ISNUMBER(SEARCH("hongrois",B127)),ISNUMBER(SEARCH("grec",B127)),ISNUMBER(SEARCH("byzantin",B127)),ISNUMBER(SEARCH("croate",B127)),ISNUMBER(SEARCH("ukrainien",B127)),ISNUMBER(SEARCH("bulgare",B127)),ISNUMBER(SEARCH("biélorusse",B127)),ISNUMBER(SEARCH("maltais",B127))),"Autres pays d'Europe",IF(OR(ISNUMBER(SEARCH("américain",B127)),ISNUMBER(SEARCH("mexicain",B127)),ISNUMBER(SEARCH("canadien",B127)),ISNUMBER(SEARCH("brésilien",B127)),ISNUMBER(SEARCH("argentin",B127))),"Amérique",IF(OR(ISNUMBER(SEARCH("chinois",B127)),ISNUMBER(SEARCH("japonais",B127)),ISNUMBER(SEARCH("coréen",B127)),ISNUMBER(SEARCH("indien",B127)),ISNUMBER(SEARCH("persan",B127)),ISNUMBER(SEARCH("iranien",B127))),"Asie","(non classée)"))))</f>
        <v/>
      </c>
    </row>
    <row r="128">
      <c r="A128" s="2" t="inlineStr">
        <is>
          <t>BERTHE MORISOT</t>
        </is>
      </c>
      <c r="B128" s="2" t="inlineStr">
        <is>
          <t>française</t>
        </is>
      </c>
      <c r="C128" s="2" t="inlineStr">
        <is>
          <t>peinture</t>
        </is>
      </c>
      <c r="D128" s="2" t="inlineStr">
        <is>
          <t>19e</t>
        </is>
      </c>
      <c r="U128">
        <f>IF(ISNUMBER(SEARCH("fran",B128)),"France",IF(OR(ISNUMBER(SEARCH("italien",B128)),ISNUMBER(SEARCH("espagn",B128)),ISNUMBER(SEARCH("catalan",B128)),ISNUMBER(SEARCH("flamand",B128)),ISNUMBER(SEARCH("belge",B128)),ISNUMBER(SEARCH("hollandais",B128)),ISNUMBER(SEARCH("néerlandais",B128)),ISNUMBER(SEARCH("allemand",B128)),ISNUMBER(SEARCH("autrichien",B128)),ISNUMBER(SEARCH("suisse",B128)),ISNUMBER(SEARCH("anglais",B128)),ISNUMBER(SEARCH("britannique",B128)),ISNUMBER(SEARCH("écossais",B128)),ISNUMBER(SEARCH("irlandais",B128)),ISNUMBER(SEARCH("russe",B128)),ISNUMBER(SEARCH("portugais",B128)),ISNUMBER(SEARCH("danois",B128)),ISNUMBER(SEARCH("norvégien",B128)),ISNUMBER(SEARCH("suédois",B128)),ISNUMBER(SEARCH("finlandais",B128)),ISNUMBER(SEARCH("polonais",B128)),ISNUMBER(SEARCH("tchèque",B128)),ISNUMBER(SEARCH("hongrois",B128)),ISNUMBER(SEARCH("grec",B128)),ISNUMBER(SEARCH("byzantin",B128)),ISNUMBER(SEARCH("croate",B128)),ISNUMBER(SEARCH("ukrainien",B128)),ISNUMBER(SEARCH("bulgare",B128)),ISNUMBER(SEARCH("biélorusse",B128)),ISNUMBER(SEARCH("maltais",B128))),"Autres pays d'Europe",IF(OR(ISNUMBER(SEARCH("américain",B128)),ISNUMBER(SEARCH("mexicain",B128)),ISNUMBER(SEARCH("canadien",B128)),ISNUMBER(SEARCH("brésilien",B128)),ISNUMBER(SEARCH("argentin",B128))),"Amérique",IF(OR(ISNUMBER(SEARCH("chinois",B128)),ISNUMBER(SEARCH("japonais",B128)),ISNUMBER(SEARCH("coréen",B128)),ISNUMBER(SEARCH("indien",B128)),ISNUMBER(SEARCH("persan",B128)),ISNUMBER(SEARCH("iranien",B128))),"Asie","(non classée)"))))</f>
        <v/>
      </c>
    </row>
    <row r="129">
      <c r="A129" s="2" t="inlineStr">
        <is>
          <t>BOHUMIL KUBIŠTA</t>
        </is>
      </c>
      <c r="B129" s="2" t="inlineStr">
        <is>
          <t>tchèque</t>
        </is>
      </c>
      <c r="C129" s="2" t="inlineStr">
        <is>
          <t>peinture</t>
        </is>
      </c>
      <c r="D129" s="2" t="inlineStr">
        <is>
          <t>20e</t>
        </is>
      </c>
      <c r="U129">
        <f>IF(ISNUMBER(SEARCH("fran",B129)),"France",IF(OR(ISNUMBER(SEARCH("italien",B129)),ISNUMBER(SEARCH("espagn",B129)),ISNUMBER(SEARCH("catalan",B129)),ISNUMBER(SEARCH("flamand",B129)),ISNUMBER(SEARCH("belge",B129)),ISNUMBER(SEARCH("hollandais",B129)),ISNUMBER(SEARCH("néerlandais",B129)),ISNUMBER(SEARCH("allemand",B129)),ISNUMBER(SEARCH("autrichien",B129)),ISNUMBER(SEARCH("suisse",B129)),ISNUMBER(SEARCH("anglais",B129)),ISNUMBER(SEARCH("britannique",B129)),ISNUMBER(SEARCH("écossais",B129)),ISNUMBER(SEARCH("irlandais",B129)),ISNUMBER(SEARCH("russe",B129)),ISNUMBER(SEARCH("portugais",B129)),ISNUMBER(SEARCH("danois",B129)),ISNUMBER(SEARCH("norvégien",B129)),ISNUMBER(SEARCH("suédois",B129)),ISNUMBER(SEARCH("finlandais",B129)),ISNUMBER(SEARCH("polonais",B129)),ISNUMBER(SEARCH("tchèque",B129)),ISNUMBER(SEARCH("hongrois",B129)),ISNUMBER(SEARCH("grec",B129)),ISNUMBER(SEARCH("byzantin",B129)),ISNUMBER(SEARCH("croate",B129)),ISNUMBER(SEARCH("ukrainien",B129)),ISNUMBER(SEARCH("bulgare",B129)),ISNUMBER(SEARCH("biélorusse",B129)),ISNUMBER(SEARCH("maltais",B129))),"Autres pays d'Europe",IF(OR(ISNUMBER(SEARCH("américain",B129)),ISNUMBER(SEARCH("mexicain",B129)),ISNUMBER(SEARCH("canadien",B129)),ISNUMBER(SEARCH("brésilien",B129)),ISNUMBER(SEARCH("argentin",B129))),"Amérique",IF(OR(ISNUMBER(SEARCH("chinois",B129)),ISNUMBER(SEARCH("japonais",B129)),ISNUMBER(SEARCH("coréen",B129)),ISNUMBER(SEARCH("indien",B129)),ISNUMBER(SEARCH("persan",B129)),ISNUMBER(SEARCH("iranien",B129))),"Asie","(non classée)"))))</f>
        <v/>
      </c>
    </row>
    <row r="130">
      <c r="A130" s="2" t="inlineStr">
        <is>
          <t>BONINO DA CAMPIONE</t>
        </is>
      </c>
      <c r="B130" s="2" t="inlineStr">
        <is>
          <t>italienne</t>
        </is>
      </c>
      <c r="C130" s="2" t="inlineStr">
        <is>
          <t>sculpture</t>
        </is>
      </c>
      <c r="D130" s="2" t="inlineStr">
        <is>
          <t>14e</t>
        </is>
      </c>
      <c r="U130">
        <f>IF(ISNUMBER(SEARCH("fran",B130)),"France",IF(OR(ISNUMBER(SEARCH("italien",B130)),ISNUMBER(SEARCH("espagn",B130)),ISNUMBER(SEARCH("catalan",B130)),ISNUMBER(SEARCH("flamand",B130)),ISNUMBER(SEARCH("belge",B130)),ISNUMBER(SEARCH("hollandais",B130)),ISNUMBER(SEARCH("néerlandais",B130)),ISNUMBER(SEARCH("allemand",B130)),ISNUMBER(SEARCH("autrichien",B130)),ISNUMBER(SEARCH("suisse",B130)),ISNUMBER(SEARCH("anglais",B130)),ISNUMBER(SEARCH("britannique",B130)),ISNUMBER(SEARCH("écossais",B130)),ISNUMBER(SEARCH("irlandais",B130)),ISNUMBER(SEARCH("russe",B130)),ISNUMBER(SEARCH("portugais",B130)),ISNUMBER(SEARCH("danois",B130)),ISNUMBER(SEARCH("norvégien",B130)),ISNUMBER(SEARCH("suédois",B130)),ISNUMBER(SEARCH("finlandais",B130)),ISNUMBER(SEARCH("polonais",B130)),ISNUMBER(SEARCH("tchèque",B130)),ISNUMBER(SEARCH("hongrois",B130)),ISNUMBER(SEARCH("grec",B130)),ISNUMBER(SEARCH("byzantin",B130)),ISNUMBER(SEARCH("croate",B130)),ISNUMBER(SEARCH("ukrainien",B130)),ISNUMBER(SEARCH("bulgare",B130)),ISNUMBER(SEARCH("biélorusse",B130)),ISNUMBER(SEARCH("maltais",B130))),"Autres pays d'Europe",IF(OR(ISNUMBER(SEARCH("américain",B130)),ISNUMBER(SEARCH("mexicain",B130)),ISNUMBER(SEARCH("canadien",B130)),ISNUMBER(SEARCH("brésilien",B130)),ISNUMBER(SEARCH("argentin",B130))),"Amérique",IF(OR(ISNUMBER(SEARCH("chinois",B130)),ISNUMBER(SEARCH("japonais",B130)),ISNUMBER(SEARCH("coréen",B130)),ISNUMBER(SEARCH("indien",B130)),ISNUMBER(SEARCH("persan",B130)),ISNUMBER(SEARCH("iranien",B130))),"Asie","(non classée)"))))</f>
        <v/>
      </c>
    </row>
    <row r="131">
      <c r="A131" s="2" t="inlineStr">
        <is>
          <t>BORIS GRIGORIEV</t>
        </is>
      </c>
      <c r="B131" s="2" t="inlineStr">
        <is>
          <t>russe</t>
        </is>
      </c>
      <c r="C131" s="2" t="inlineStr">
        <is>
          <t>peinture</t>
        </is>
      </c>
      <c r="D131" s="2" t="inlineStr">
        <is>
          <t>20e</t>
        </is>
      </c>
      <c r="U131">
        <f>IF(ISNUMBER(SEARCH("fran",B131)),"France",IF(OR(ISNUMBER(SEARCH("italien",B131)),ISNUMBER(SEARCH("espagn",B131)),ISNUMBER(SEARCH("catalan",B131)),ISNUMBER(SEARCH("flamand",B131)),ISNUMBER(SEARCH("belge",B131)),ISNUMBER(SEARCH("hollandais",B131)),ISNUMBER(SEARCH("néerlandais",B131)),ISNUMBER(SEARCH("allemand",B131)),ISNUMBER(SEARCH("autrichien",B131)),ISNUMBER(SEARCH("suisse",B131)),ISNUMBER(SEARCH("anglais",B131)),ISNUMBER(SEARCH("britannique",B131)),ISNUMBER(SEARCH("écossais",B131)),ISNUMBER(SEARCH("irlandais",B131)),ISNUMBER(SEARCH("russe",B131)),ISNUMBER(SEARCH("portugais",B131)),ISNUMBER(SEARCH("danois",B131)),ISNUMBER(SEARCH("norvégien",B131)),ISNUMBER(SEARCH("suédois",B131)),ISNUMBER(SEARCH("finlandais",B131)),ISNUMBER(SEARCH("polonais",B131)),ISNUMBER(SEARCH("tchèque",B131)),ISNUMBER(SEARCH("hongrois",B131)),ISNUMBER(SEARCH("grec",B131)),ISNUMBER(SEARCH("byzantin",B131)),ISNUMBER(SEARCH("croate",B131)),ISNUMBER(SEARCH("ukrainien",B131)),ISNUMBER(SEARCH("bulgare",B131)),ISNUMBER(SEARCH("biélorusse",B131)),ISNUMBER(SEARCH("maltais",B131))),"Autres pays d'Europe",IF(OR(ISNUMBER(SEARCH("américain",B131)),ISNUMBER(SEARCH("mexicain",B131)),ISNUMBER(SEARCH("canadien",B131)),ISNUMBER(SEARCH("brésilien",B131)),ISNUMBER(SEARCH("argentin",B131))),"Amérique",IF(OR(ISNUMBER(SEARCH("chinois",B131)),ISNUMBER(SEARCH("japonais",B131)),ISNUMBER(SEARCH("coréen",B131)),ISNUMBER(SEARCH("indien",B131)),ISNUMBER(SEARCH("persan",B131)),ISNUMBER(SEARCH("iranien",B131))),"Asie","(non classée)"))))</f>
        <v/>
      </c>
    </row>
    <row r="132">
      <c r="A132" s="2" t="inlineStr">
        <is>
          <t>CARAVAGGIO OU CARAVAGE</t>
        </is>
      </c>
      <c r="B132" s="2" t="inlineStr">
        <is>
          <t>italienne</t>
        </is>
      </c>
      <c r="C132" s="2" t="inlineStr">
        <is>
          <t>peinture</t>
        </is>
      </c>
      <c r="D132" s="2" t="inlineStr">
        <is>
          <t>17e</t>
        </is>
      </c>
      <c r="U132">
        <f>IF(ISNUMBER(SEARCH("fran",B132)),"France",IF(OR(ISNUMBER(SEARCH("italien",B132)),ISNUMBER(SEARCH("espagn",B132)),ISNUMBER(SEARCH("catalan",B132)),ISNUMBER(SEARCH("flamand",B132)),ISNUMBER(SEARCH("belge",B132)),ISNUMBER(SEARCH("hollandais",B132)),ISNUMBER(SEARCH("néerlandais",B132)),ISNUMBER(SEARCH("allemand",B132)),ISNUMBER(SEARCH("autrichien",B132)),ISNUMBER(SEARCH("suisse",B132)),ISNUMBER(SEARCH("anglais",B132)),ISNUMBER(SEARCH("britannique",B132)),ISNUMBER(SEARCH("écossais",B132)),ISNUMBER(SEARCH("irlandais",B132)),ISNUMBER(SEARCH("russe",B132)),ISNUMBER(SEARCH("portugais",B132)),ISNUMBER(SEARCH("danois",B132)),ISNUMBER(SEARCH("norvégien",B132)),ISNUMBER(SEARCH("suédois",B132)),ISNUMBER(SEARCH("finlandais",B132)),ISNUMBER(SEARCH("polonais",B132)),ISNUMBER(SEARCH("tchèque",B132)),ISNUMBER(SEARCH("hongrois",B132)),ISNUMBER(SEARCH("grec",B132)),ISNUMBER(SEARCH("byzantin",B132)),ISNUMBER(SEARCH("croate",B132)),ISNUMBER(SEARCH("ukrainien",B132)),ISNUMBER(SEARCH("bulgare",B132)),ISNUMBER(SEARCH("biélorusse",B132)),ISNUMBER(SEARCH("maltais",B132))),"Autres pays d'Europe",IF(OR(ISNUMBER(SEARCH("américain",B132)),ISNUMBER(SEARCH("mexicain",B132)),ISNUMBER(SEARCH("canadien",B132)),ISNUMBER(SEARCH("brésilien",B132)),ISNUMBER(SEARCH("argentin",B132))),"Amérique",IF(OR(ISNUMBER(SEARCH("chinois",B132)),ISNUMBER(SEARCH("japonais",B132)),ISNUMBER(SEARCH("coréen",B132)),ISNUMBER(SEARCH("indien",B132)),ISNUMBER(SEARCH("persan",B132)),ISNUMBER(SEARCH("iranien",B132))),"Asie","(non classée)"))))</f>
        <v/>
      </c>
    </row>
    <row r="133">
      <c r="A133" s="2" t="inlineStr">
        <is>
          <t>CLODION (CLAUDE MICHEL)</t>
        </is>
      </c>
      <c r="B133" s="2" t="inlineStr">
        <is>
          <t>française</t>
        </is>
      </c>
      <c r="C133" s="2" t="inlineStr">
        <is>
          <t>sculpture</t>
        </is>
      </c>
      <c r="D133" s="2" t="inlineStr">
        <is>
          <t>18e</t>
        </is>
      </c>
      <c r="U133">
        <f>IF(ISNUMBER(SEARCH("fran",B133)),"France",IF(OR(ISNUMBER(SEARCH("italien",B133)),ISNUMBER(SEARCH("espagn",B133)),ISNUMBER(SEARCH("catalan",B133)),ISNUMBER(SEARCH("flamand",B133)),ISNUMBER(SEARCH("belge",B133)),ISNUMBER(SEARCH("hollandais",B133)),ISNUMBER(SEARCH("néerlandais",B133)),ISNUMBER(SEARCH("allemand",B133)),ISNUMBER(SEARCH("autrichien",B133)),ISNUMBER(SEARCH("suisse",B133)),ISNUMBER(SEARCH("anglais",B133)),ISNUMBER(SEARCH("britannique",B133)),ISNUMBER(SEARCH("écossais",B133)),ISNUMBER(SEARCH("irlandais",B133)),ISNUMBER(SEARCH("russe",B133)),ISNUMBER(SEARCH("portugais",B133)),ISNUMBER(SEARCH("danois",B133)),ISNUMBER(SEARCH("norvégien",B133)),ISNUMBER(SEARCH("suédois",B133)),ISNUMBER(SEARCH("finlandais",B133)),ISNUMBER(SEARCH("polonais",B133)),ISNUMBER(SEARCH("tchèque",B133)),ISNUMBER(SEARCH("hongrois",B133)),ISNUMBER(SEARCH("grec",B133)),ISNUMBER(SEARCH("byzantin",B133)),ISNUMBER(SEARCH("croate",B133)),ISNUMBER(SEARCH("ukrainien",B133)),ISNUMBER(SEARCH("bulgare",B133)),ISNUMBER(SEARCH("biélorusse",B133)),ISNUMBER(SEARCH("maltais",B133))),"Autres pays d'Europe",IF(OR(ISNUMBER(SEARCH("américain",B133)),ISNUMBER(SEARCH("mexicain",B133)),ISNUMBER(SEARCH("canadien",B133)),ISNUMBER(SEARCH("brésilien",B133)),ISNUMBER(SEARCH("argentin",B133))),"Amérique",IF(OR(ISNUMBER(SEARCH("chinois",B133)),ISNUMBER(SEARCH("japonais",B133)),ISNUMBER(SEARCH("coréen",B133)),ISNUMBER(SEARCH("indien",B133)),ISNUMBER(SEARCH("persan",B133)),ISNUMBER(SEARCH("iranien",B133))),"Asie","(non classée)"))))</f>
        <v/>
      </c>
    </row>
    <row r="134">
      <c r="A134" s="2" t="inlineStr">
        <is>
          <t>CAIUS GABRIEL CIBBER</t>
        </is>
      </c>
      <c r="B134" s="2" t="inlineStr">
        <is>
          <t>danoise</t>
        </is>
      </c>
      <c r="C134" s="2" t="inlineStr">
        <is>
          <t>sculpture</t>
        </is>
      </c>
      <c r="D134" s="2" t="inlineStr">
        <is>
          <t>17e</t>
        </is>
      </c>
      <c r="U134">
        <f>IF(ISNUMBER(SEARCH("fran",B134)),"France",IF(OR(ISNUMBER(SEARCH("italien",B134)),ISNUMBER(SEARCH("espagn",B134)),ISNUMBER(SEARCH("catalan",B134)),ISNUMBER(SEARCH("flamand",B134)),ISNUMBER(SEARCH("belge",B134)),ISNUMBER(SEARCH("hollandais",B134)),ISNUMBER(SEARCH("néerlandais",B134)),ISNUMBER(SEARCH("allemand",B134)),ISNUMBER(SEARCH("autrichien",B134)),ISNUMBER(SEARCH("suisse",B134)),ISNUMBER(SEARCH("anglais",B134)),ISNUMBER(SEARCH("britannique",B134)),ISNUMBER(SEARCH("écossais",B134)),ISNUMBER(SEARCH("irlandais",B134)),ISNUMBER(SEARCH("russe",B134)),ISNUMBER(SEARCH("portugais",B134)),ISNUMBER(SEARCH("danois",B134)),ISNUMBER(SEARCH("norvégien",B134)),ISNUMBER(SEARCH("suédois",B134)),ISNUMBER(SEARCH("finlandais",B134)),ISNUMBER(SEARCH("polonais",B134)),ISNUMBER(SEARCH("tchèque",B134)),ISNUMBER(SEARCH("hongrois",B134)),ISNUMBER(SEARCH("grec",B134)),ISNUMBER(SEARCH("byzantin",B134)),ISNUMBER(SEARCH("croate",B134)),ISNUMBER(SEARCH("ukrainien",B134)),ISNUMBER(SEARCH("bulgare",B134)),ISNUMBER(SEARCH("biélorusse",B134)),ISNUMBER(SEARCH("maltais",B134))),"Autres pays d'Europe",IF(OR(ISNUMBER(SEARCH("américain",B134)),ISNUMBER(SEARCH("mexicain",B134)),ISNUMBER(SEARCH("canadien",B134)),ISNUMBER(SEARCH("brésilien",B134)),ISNUMBER(SEARCH("argentin",B134))),"Amérique",IF(OR(ISNUMBER(SEARCH("chinois",B134)),ISNUMBER(SEARCH("japonais",B134)),ISNUMBER(SEARCH("coréen",B134)),ISNUMBER(SEARCH("indien",B134)),ISNUMBER(SEARCH("persan",B134)),ISNUMBER(SEARCH("iranien",B134))),"Asie","(non classée)"))))</f>
        <v/>
      </c>
    </row>
    <row r="135">
      <c r="A135" s="2" t="inlineStr">
        <is>
          <t>CAMILLE CLAUDEL</t>
        </is>
      </c>
      <c r="B135" s="2" t="inlineStr">
        <is>
          <t>française</t>
        </is>
      </c>
      <c r="C135" s="2" t="inlineStr">
        <is>
          <t>sculpture</t>
        </is>
      </c>
      <c r="D135" s="2" t="inlineStr">
        <is>
          <t>20e</t>
        </is>
      </c>
      <c r="U135">
        <f>IF(ISNUMBER(SEARCH("fran",B135)),"France",IF(OR(ISNUMBER(SEARCH("italien",B135)),ISNUMBER(SEARCH("espagn",B135)),ISNUMBER(SEARCH("catalan",B135)),ISNUMBER(SEARCH("flamand",B135)),ISNUMBER(SEARCH("belge",B135)),ISNUMBER(SEARCH("hollandais",B135)),ISNUMBER(SEARCH("néerlandais",B135)),ISNUMBER(SEARCH("allemand",B135)),ISNUMBER(SEARCH("autrichien",B135)),ISNUMBER(SEARCH("suisse",B135)),ISNUMBER(SEARCH("anglais",B135)),ISNUMBER(SEARCH("britannique",B135)),ISNUMBER(SEARCH("écossais",B135)),ISNUMBER(SEARCH("irlandais",B135)),ISNUMBER(SEARCH("russe",B135)),ISNUMBER(SEARCH("portugais",B135)),ISNUMBER(SEARCH("danois",B135)),ISNUMBER(SEARCH("norvégien",B135)),ISNUMBER(SEARCH("suédois",B135)),ISNUMBER(SEARCH("finlandais",B135)),ISNUMBER(SEARCH("polonais",B135)),ISNUMBER(SEARCH("tchèque",B135)),ISNUMBER(SEARCH("hongrois",B135)),ISNUMBER(SEARCH("grec",B135)),ISNUMBER(SEARCH("byzantin",B135)),ISNUMBER(SEARCH("croate",B135)),ISNUMBER(SEARCH("ukrainien",B135)),ISNUMBER(SEARCH("bulgare",B135)),ISNUMBER(SEARCH("biélorusse",B135)),ISNUMBER(SEARCH("maltais",B135))),"Autres pays d'Europe",IF(OR(ISNUMBER(SEARCH("américain",B135)),ISNUMBER(SEARCH("mexicain",B135)),ISNUMBER(SEARCH("canadien",B135)),ISNUMBER(SEARCH("brésilien",B135)),ISNUMBER(SEARCH("argentin",B135))),"Amérique",IF(OR(ISNUMBER(SEARCH("chinois",B135)),ISNUMBER(SEARCH("japonais",B135)),ISNUMBER(SEARCH("coréen",B135)),ISNUMBER(SEARCH("indien",B135)),ISNUMBER(SEARCH("persan",B135)),ISNUMBER(SEARCH("iranien",B135))),"Asie","(non classée)"))))</f>
        <v/>
      </c>
    </row>
    <row r="136">
      <c r="A136" s="2" t="inlineStr">
        <is>
          <t>CAMILLE CLAUDEL</t>
        </is>
      </c>
      <c r="B136" s="2" t="inlineStr">
        <is>
          <t>française</t>
        </is>
      </c>
      <c r="C136" s="2" t="inlineStr">
        <is>
          <t>sculpture</t>
        </is>
      </c>
      <c r="D136" s="2" t="inlineStr">
        <is>
          <t>19e</t>
        </is>
      </c>
      <c r="U136">
        <f>IF(ISNUMBER(SEARCH("fran",B136)),"France",IF(OR(ISNUMBER(SEARCH("italien",B136)),ISNUMBER(SEARCH("espagn",B136)),ISNUMBER(SEARCH("catalan",B136)),ISNUMBER(SEARCH("flamand",B136)),ISNUMBER(SEARCH("belge",B136)),ISNUMBER(SEARCH("hollandais",B136)),ISNUMBER(SEARCH("néerlandais",B136)),ISNUMBER(SEARCH("allemand",B136)),ISNUMBER(SEARCH("autrichien",B136)),ISNUMBER(SEARCH("suisse",B136)),ISNUMBER(SEARCH("anglais",B136)),ISNUMBER(SEARCH("britannique",B136)),ISNUMBER(SEARCH("écossais",B136)),ISNUMBER(SEARCH("irlandais",B136)),ISNUMBER(SEARCH("russe",B136)),ISNUMBER(SEARCH("portugais",B136)),ISNUMBER(SEARCH("danois",B136)),ISNUMBER(SEARCH("norvégien",B136)),ISNUMBER(SEARCH("suédois",B136)),ISNUMBER(SEARCH("finlandais",B136)),ISNUMBER(SEARCH("polonais",B136)),ISNUMBER(SEARCH("tchèque",B136)),ISNUMBER(SEARCH("hongrois",B136)),ISNUMBER(SEARCH("grec",B136)),ISNUMBER(SEARCH("byzantin",B136)),ISNUMBER(SEARCH("croate",B136)),ISNUMBER(SEARCH("ukrainien",B136)),ISNUMBER(SEARCH("bulgare",B136)),ISNUMBER(SEARCH("biélorusse",B136)),ISNUMBER(SEARCH("maltais",B136))),"Autres pays d'Europe",IF(OR(ISNUMBER(SEARCH("américain",B136)),ISNUMBER(SEARCH("mexicain",B136)),ISNUMBER(SEARCH("canadien",B136)),ISNUMBER(SEARCH("brésilien",B136)),ISNUMBER(SEARCH("argentin",B136))),"Amérique",IF(OR(ISNUMBER(SEARCH("chinois",B136)),ISNUMBER(SEARCH("japonais",B136)),ISNUMBER(SEARCH("coréen",B136)),ISNUMBER(SEARCH("indien",B136)),ISNUMBER(SEARCH("persan",B136)),ISNUMBER(SEARCH("iranien",B136))),"Asie","(non classée)"))))</f>
        <v/>
      </c>
    </row>
    <row r="137">
      <c r="A137" s="2" t="inlineStr">
        <is>
          <t>CAMILLE PISSARRO</t>
        </is>
      </c>
      <c r="B137" s="2" t="inlineStr">
        <is>
          <t>française</t>
        </is>
      </c>
      <c r="C137" s="2" t="inlineStr">
        <is>
          <t>peinture</t>
        </is>
      </c>
      <c r="D137" s="2" t="inlineStr">
        <is>
          <t>19e</t>
        </is>
      </c>
      <c r="U137">
        <f>IF(ISNUMBER(SEARCH("fran",B137)),"France",IF(OR(ISNUMBER(SEARCH("italien",B137)),ISNUMBER(SEARCH("espagn",B137)),ISNUMBER(SEARCH("catalan",B137)),ISNUMBER(SEARCH("flamand",B137)),ISNUMBER(SEARCH("belge",B137)),ISNUMBER(SEARCH("hollandais",B137)),ISNUMBER(SEARCH("néerlandais",B137)),ISNUMBER(SEARCH("allemand",B137)),ISNUMBER(SEARCH("autrichien",B137)),ISNUMBER(SEARCH("suisse",B137)),ISNUMBER(SEARCH("anglais",B137)),ISNUMBER(SEARCH("britannique",B137)),ISNUMBER(SEARCH("écossais",B137)),ISNUMBER(SEARCH("irlandais",B137)),ISNUMBER(SEARCH("russe",B137)),ISNUMBER(SEARCH("portugais",B137)),ISNUMBER(SEARCH("danois",B137)),ISNUMBER(SEARCH("norvégien",B137)),ISNUMBER(SEARCH("suédois",B137)),ISNUMBER(SEARCH("finlandais",B137)),ISNUMBER(SEARCH("polonais",B137)),ISNUMBER(SEARCH("tchèque",B137)),ISNUMBER(SEARCH("hongrois",B137)),ISNUMBER(SEARCH("grec",B137)),ISNUMBER(SEARCH("byzantin",B137)),ISNUMBER(SEARCH("croate",B137)),ISNUMBER(SEARCH("ukrainien",B137)),ISNUMBER(SEARCH("bulgare",B137)),ISNUMBER(SEARCH("biélorusse",B137)),ISNUMBER(SEARCH("maltais",B137))),"Autres pays d'Europe",IF(OR(ISNUMBER(SEARCH("américain",B137)),ISNUMBER(SEARCH("mexicain",B137)),ISNUMBER(SEARCH("canadien",B137)),ISNUMBER(SEARCH("brésilien",B137)),ISNUMBER(SEARCH("argentin",B137))),"Amérique",IF(OR(ISNUMBER(SEARCH("chinois",B137)),ISNUMBER(SEARCH("japonais",B137)),ISNUMBER(SEARCH("coréen",B137)),ISNUMBER(SEARCH("indien",B137)),ISNUMBER(SEARCH("persan",B137)),ISNUMBER(SEARCH("iranien",B137))),"Asie","(non classée)"))))</f>
        <v/>
      </c>
    </row>
    <row r="138">
      <c r="A138" s="2" t="inlineStr">
        <is>
          <t>CAMILLO RUSCONI</t>
        </is>
      </c>
      <c r="B138" s="2" t="inlineStr">
        <is>
          <t>italienne</t>
        </is>
      </c>
      <c r="C138" s="2" t="inlineStr">
        <is>
          <t>sculpture</t>
        </is>
      </c>
      <c r="D138" s="2" t="inlineStr">
        <is>
          <t>17e, 18e</t>
        </is>
      </c>
      <c r="U138">
        <f>IF(ISNUMBER(SEARCH("fran",B138)),"France",IF(OR(ISNUMBER(SEARCH("italien",B138)),ISNUMBER(SEARCH("espagn",B138)),ISNUMBER(SEARCH("catalan",B138)),ISNUMBER(SEARCH("flamand",B138)),ISNUMBER(SEARCH("belge",B138)),ISNUMBER(SEARCH("hollandais",B138)),ISNUMBER(SEARCH("néerlandais",B138)),ISNUMBER(SEARCH("allemand",B138)),ISNUMBER(SEARCH("autrichien",B138)),ISNUMBER(SEARCH("suisse",B138)),ISNUMBER(SEARCH("anglais",B138)),ISNUMBER(SEARCH("britannique",B138)),ISNUMBER(SEARCH("écossais",B138)),ISNUMBER(SEARCH("irlandais",B138)),ISNUMBER(SEARCH("russe",B138)),ISNUMBER(SEARCH("portugais",B138)),ISNUMBER(SEARCH("danois",B138)),ISNUMBER(SEARCH("norvégien",B138)),ISNUMBER(SEARCH("suédois",B138)),ISNUMBER(SEARCH("finlandais",B138)),ISNUMBER(SEARCH("polonais",B138)),ISNUMBER(SEARCH("tchèque",B138)),ISNUMBER(SEARCH("hongrois",B138)),ISNUMBER(SEARCH("grec",B138)),ISNUMBER(SEARCH("byzantin",B138)),ISNUMBER(SEARCH("croate",B138)),ISNUMBER(SEARCH("ukrainien",B138)),ISNUMBER(SEARCH("bulgare",B138)),ISNUMBER(SEARCH("biélorusse",B138)),ISNUMBER(SEARCH("maltais",B138))),"Autres pays d'Europe",IF(OR(ISNUMBER(SEARCH("américain",B138)),ISNUMBER(SEARCH("mexicain",B138)),ISNUMBER(SEARCH("canadien",B138)),ISNUMBER(SEARCH("brésilien",B138)),ISNUMBER(SEARCH("argentin",B138))),"Amérique",IF(OR(ISNUMBER(SEARCH("chinois",B138)),ISNUMBER(SEARCH("japonais",B138)),ISNUMBER(SEARCH("coréen",B138)),ISNUMBER(SEARCH("indien",B138)),ISNUMBER(SEARCH("persan",B138)),ISNUMBER(SEARCH("iranien",B138))),"Asie","(non classée)"))))</f>
        <v/>
      </c>
    </row>
    <row r="139">
      <c r="A139" s="2" t="inlineStr">
        <is>
          <t>CANALETTO</t>
        </is>
      </c>
      <c r="B139" s="2" t="inlineStr">
        <is>
          <t>italienne</t>
        </is>
      </c>
      <c r="C139" s="2" t="inlineStr">
        <is>
          <t>peinture</t>
        </is>
      </c>
      <c r="D139" s="2" t="inlineStr">
        <is>
          <t>18e</t>
        </is>
      </c>
      <c r="U139">
        <f>IF(ISNUMBER(SEARCH("fran",B139)),"France",IF(OR(ISNUMBER(SEARCH("italien",B139)),ISNUMBER(SEARCH("espagn",B139)),ISNUMBER(SEARCH("catalan",B139)),ISNUMBER(SEARCH("flamand",B139)),ISNUMBER(SEARCH("belge",B139)),ISNUMBER(SEARCH("hollandais",B139)),ISNUMBER(SEARCH("néerlandais",B139)),ISNUMBER(SEARCH("allemand",B139)),ISNUMBER(SEARCH("autrichien",B139)),ISNUMBER(SEARCH("suisse",B139)),ISNUMBER(SEARCH("anglais",B139)),ISNUMBER(SEARCH("britannique",B139)),ISNUMBER(SEARCH("écossais",B139)),ISNUMBER(SEARCH("irlandais",B139)),ISNUMBER(SEARCH("russe",B139)),ISNUMBER(SEARCH("portugais",B139)),ISNUMBER(SEARCH("danois",B139)),ISNUMBER(SEARCH("norvégien",B139)),ISNUMBER(SEARCH("suédois",B139)),ISNUMBER(SEARCH("finlandais",B139)),ISNUMBER(SEARCH("polonais",B139)),ISNUMBER(SEARCH("tchèque",B139)),ISNUMBER(SEARCH("hongrois",B139)),ISNUMBER(SEARCH("grec",B139)),ISNUMBER(SEARCH("byzantin",B139)),ISNUMBER(SEARCH("croate",B139)),ISNUMBER(SEARCH("ukrainien",B139)),ISNUMBER(SEARCH("bulgare",B139)),ISNUMBER(SEARCH("biélorusse",B139)),ISNUMBER(SEARCH("maltais",B139))),"Autres pays d'Europe",IF(OR(ISNUMBER(SEARCH("américain",B139)),ISNUMBER(SEARCH("mexicain",B139)),ISNUMBER(SEARCH("canadien",B139)),ISNUMBER(SEARCH("brésilien",B139)),ISNUMBER(SEARCH("argentin",B139))),"Amérique",IF(OR(ISNUMBER(SEARCH("chinois",B139)),ISNUMBER(SEARCH("japonais",B139)),ISNUMBER(SEARCH("coréen",B139)),ISNUMBER(SEARCH("indien",B139)),ISNUMBER(SEARCH("persan",B139)),ISNUMBER(SEARCH("iranien",B139))),"Asie","(non classée)"))))</f>
        <v/>
      </c>
    </row>
    <row r="140">
      <c r="A140" s="2" t="inlineStr">
        <is>
          <t>CARAVAGGIO</t>
        </is>
      </c>
      <c r="B140" s="2" t="inlineStr">
        <is>
          <t>italienne</t>
        </is>
      </c>
      <c r="C140" s="2" t="inlineStr">
        <is>
          <t>peinture</t>
        </is>
      </c>
      <c r="D140" s="2" t="inlineStr">
        <is>
          <t>16e</t>
        </is>
      </c>
      <c r="U140">
        <f>IF(ISNUMBER(SEARCH("fran",B140)),"France",IF(OR(ISNUMBER(SEARCH("italien",B140)),ISNUMBER(SEARCH("espagn",B140)),ISNUMBER(SEARCH("catalan",B140)),ISNUMBER(SEARCH("flamand",B140)),ISNUMBER(SEARCH("belge",B140)),ISNUMBER(SEARCH("hollandais",B140)),ISNUMBER(SEARCH("néerlandais",B140)),ISNUMBER(SEARCH("allemand",B140)),ISNUMBER(SEARCH("autrichien",B140)),ISNUMBER(SEARCH("suisse",B140)),ISNUMBER(SEARCH("anglais",B140)),ISNUMBER(SEARCH("britannique",B140)),ISNUMBER(SEARCH("écossais",B140)),ISNUMBER(SEARCH("irlandais",B140)),ISNUMBER(SEARCH("russe",B140)),ISNUMBER(SEARCH("portugais",B140)),ISNUMBER(SEARCH("danois",B140)),ISNUMBER(SEARCH("norvégien",B140)),ISNUMBER(SEARCH("suédois",B140)),ISNUMBER(SEARCH("finlandais",B140)),ISNUMBER(SEARCH("polonais",B140)),ISNUMBER(SEARCH("tchèque",B140)),ISNUMBER(SEARCH("hongrois",B140)),ISNUMBER(SEARCH("grec",B140)),ISNUMBER(SEARCH("byzantin",B140)),ISNUMBER(SEARCH("croate",B140)),ISNUMBER(SEARCH("ukrainien",B140)),ISNUMBER(SEARCH("bulgare",B140)),ISNUMBER(SEARCH("biélorusse",B140)),ISNUMBER(SEARCH("maltais",B140))),"Autres pays d'Europe",IF(OR(ISNUMBER(SEARCH("américain",B140)),ISNUMBER(SEARCH("mexicain",B140)),ISNUMBER(SEARCH("canadien",B140)),ISNUMBER(SEARCH("brésilien",B140)),ISNUMBER(SEARCH("argentin",B140))),"Amérique",IF(OR(ISNUMBER(SEARCH("chinois",B140)),ISNUMBER(SEARCH("japonais",B140)),ISNUMBER(SEARCH("coréen",B140)),ISNUMBER(SEARCH("indien",B140)),ISNUMBER(SEARCH("persan",B140)),ISNUMBER(SEARCH("iranien",B140))),"Asie","(non classée)"))))</f>
        <v/>
      </c>
    </row>
    <row r="141">
      <c r="A141" s="2" t="inlineStr">
        <is>
          <t>CAREL FABRITIUS</t>
        </is>
      </c>
      <c r="B141" s="2" t="inlineStr">
        <is>
          <t>hollandaise (Pays-Bas)</t>
        </is>
      </c>
      <c r="C141" s="2" t="inlineStr">
        <is>
          <t>peinture</t>
        </is>
      </c>
      <c r="D141" s="2" t="inlineStr">
        <is>
          <t>17e</t>
        </is>
      </c>
      <c r="U141">
        <f>IF(ISNUMBER(SEARCH("fran",B141)),"France",IF(OR(ISNUMBER(SEARCH("italien",B141)),ISNUMBER(SEARCH("espagn",B141)),ISNUMBER(SEARCH("catalan",B141)),ISNUMBER(SEARCH("flamand",B141)),ISNUMBER(SEARCH("belge",B141)),ISNUMBER(SEARCH("hollandais",B141)),ISNUMBER(SEARCH("néerlandais",B141)),ISNUMBER(SEARCH("allemand",B141)),ISNUMBER(SEARCH("autrichien",B141)),ISNUMBER(SEARCH("suisse",B141)),ISNUMBER(SEARCH("anglais",B141)),ISNUMBER(SEARCH("britannique",B141)),ISNUMBER(SEARCH("écossais",B141)),ISNUMBER(SEARCH("irlandais",B141)),ISNUMBER(SEARCH("russe",B141)),ISNUMBER(SEARCH("portugais",B141)),ISNUMBER(SEARCH("danois",B141)),ISNUMBER(SEARCH("norvégien",B141)),ISNUMBER(SEARCH("suédois",B141)),ISNUMBER(SEARCH("finlandais",B141)),ISNUMBER(SEARCH("polonais",B141)),ISNUMBER(SEARCH("tchèque",B141)),ISNUMBER(SEARCH("hongrois",B141)),ISNUMBER(SEARCH("grec",B141)),ISNUMBER(SEARCH("byzantin",B141)),ISNUMBER(SEARCH("croate",B141)),ISNUMBER(SEARCH("ukrainien",B141)),ISNUMBER(SEARCH("bulgare",B141)),ISNUMBER(SEARCH("biélorusse",B141)),ISNUMBER(SEARCH("maltais",B141))),"Autres pays d'Europe",IF(OR(ISNUMBER(SEARCH("américain",B141)),ISNUMBER(SEARCH("mexicain",B141)),ISNUMBER(SEARCH("canadien",B141)),ISNUMBER(SEARCH("brésilien",B141)),ISNUMBER(SEARCH("argentin",B141))),"Amérique",IF(OR(ISNUMBER(SEARCH("chinois",B141)),ISNUMBER(SEARCH("japonais",B141)),ISNUMBER(SEARCH("coréen",B141)),ISNUMBER(SEARCH("indien",B141)),ISNUMBER(SEARCH("persan",B141)),ISNUMBER(SEARCH("iranien",B141))),"Asie","(non classée)"))))</f>
        <v/>
      </c>
    </row>
    <row r="142">
      <c r="A142" s="2" t="inlineStr">
        <is>
          <t>CARLE VAN LOO</t>
        </is>
      </c>
      <c r="B142" s="2" t="inlineStr">
        <is>
          <t>française</t>
        </is>
      </c>
      <c r="C142" s="2" t="inlineStr">
        <is>
          <t>peinture</t>
        </is>
      </c>
      <c r="D142" s="2" t="inlineStr">
        <is>
          <t>18e</t>
        </is>
      </c>
      <c r="U142">
        <f>IF(ISNUMBER(SEARCH("fran",B142)),"France",IF(OR(ISNUMBER(SEARCH("italien",B142)),ISNUMBER(SEARCH("espagn",B142)),ISNUMBER(SEARCH("catalan",B142)),ISNUMBER(SEARCH("flamand",B142)),ISNUMBER(SEARCH("belge",B142)),ISNUMBER(SEARCH("hollandais",B142)),ISNUMBER(SEARCH("néerlandais",B142)),ISNUMBER(SEARCH("allemand",B142)),ISNUMBER(SEARCH("autrichien",B142)),ISNUMBER(SEARCH("suisse",B142)),ISNUMBER(SEARCH("anglais",B142)),ISNUMBER(SEARCH("britannique",B142)),ISNUMBER(SEARCH("écossais",B142)),ISNUMBER(SEARCH("irlandais",B142)),ISNUMBER(SEARCH("russe",B142)),ISNUMBER(SEARCH("portugais",B142)),ISNUMBER(SEARCH("danois",B142)),ISNUMBER(SEARCH("norvégien",B142)),ISNUMBER(SEARCH("suédois",B142)),ISNUMBER(SEARCH("finlandais",B142)),ISNUMBER(SEARCH("polonais",B142)),ISNUMBER(SEARCH("tchèque",B142)),ISNUMBER(SEARCH("hongrois",B142)),ISNUMBER(SEARCH("grec",B142)),ISNUMBER(SEARCH("byzantin",B142)),ISNUMBER(SEARCH("croate",B142)),ISNUMBER(SEARCH("ukrainien",B142)),ISNUMBER(SEARCH("bulgare",B142)),ISNUMBER(SEARCH("biélorusse",B142)),ISNUMBER(SEARCH("maltais",B142))),"Autres pays d'Europe",IF(OR(ISNUMBER(SEARCH("américain",B142)),ISNUMBER(SEARCH("mexicain",B142)),ISNUMBER(SEARCH("canadien",B142)),ISNUMBER(SEARCH("brésilien",B142)),ISNUMBER(SEARCH("argentin",B142))),"Amérique",IF(OR(ISNUMBER(SEARCH("chinois",B142)),ISNUMBER(SEARCH("japonais",B142)),ISNUMBER(SEARCH("coréen",B142)),ISNUMBER(SEARCH("indien",B142)),ISNUMBER(SEARCH("persan",B142)),ISNUMBER(SEARCH("iranien",B142))),"Asie","(non classée)"))))</f>
        <v/>
      </c>
    </row>
    <row r="143">
      <c r="A143" s="2" t="inlineStr">
        <is>
          <t>CARLO CRIVELLI</t>
        </is>
      </c>
      <c r="B143" s="2" t="inlineStr">
        <is>
          <t>italienne</t>
        </is>
      </c>
      <c r="C143" s="2" t="inlineStr">
        <is>
          <t>peinture</t>
        </is>
      </c>
      <c r="D143" s="2" t="inlineStr">
        <is>
          <t>15e</t>
        </is>
      </c>
      <c r="U143">
        <f>IF(ISNUMBER(SEARCH("fran",B143)),"France",IF(OR(ISNUMBER(SEARCH("italien",B143)),ISNUMBER(SEARCH("espagn",B143)),ISNUMBER(SEARCH("catalan",B143)),ISNUMBER(SEARCH("flamand",B143)),ISNUMBER(SEARCH("belge",B143)),ISNUMBER(SEARCH("hollandais",B143)),ISNUMBER(SEARCH("néerlandais",B143)),ISNUMBER(SEARCH("allemand",B143)),ISNUMBER(SEARCH("autrichien",B143)),ISNUMBER(SEARCH("suisse",B143)),ISNUMBER(SEARCH("anglais",B143)),ISNUMBER(SEARCH("britannique",B143)),ISNUMBER(SEARCH("écossais",B143)),ISNUMBER(SEARCH("irlandais",B143)),ISNUMBER(SEARCH("russe",B143)),ISNUMBER(SEARCH("portugais",B143)),ISNUMBER(SEARCH("danois",B143)),ISNUMBER(SEARCH("norvégien",B143)),ISNUMBER(SEARCH("suédois",B143)),ISNUMBER(SEARCH("finlandais",B143)),ISNUMBER(SEARCH("polonais",B143)),ISNUMBER(SEARCH("tchèque",B143)),ISNUMBER(SEARCH("hongrois",B143)),ISNUMBER(SEARCH("grec",B143)),ISNUMBER(SEARCH("byzantin",B143)),ISNUMBER(SEARCH("croate",B143)),ISNUMBER(SEARCH("ukrainien",B143)),ISNUMBER(SEARCH("bulgare",B143)),ISNUMBER(SEARCH("biélorusse",B143)),ISNUMBER(SEARCH("maltais",B143))),"Autres pays d'Europe",IF(OR(ISNUMBER(SEARCH("américain",B143)),ISNUMBER(SEARCH("mexicain",B143)),ISNUMBER(SEARCH("canadien",B143)),ISNUMBER(SEARCH("brésilien",B143)),ISNUMBER(SEARCH("argentin",B143))),"Amérique",IF(OR(ISNUMBER(SEARCH("chinois",B143)),ISNUMBER(SEARCH("japonais",B143)),ISNUMBER(SEARCH("coréen",B143)),ISNUMBER(SEARCH("indien",B143)),ISNUMBER(SEARCH("persan",B143)),ISNUMBER(SEARCH("iranien",B143))),"Asie","(non classée)"))))</f>
        <v/>
      </c>
    </row>
    <row r="144">
      <c r="A144" s="2" t="inlineStr">
        <is>
          <t>CASPAR DAVID FRIEDRICH</t>
        </is>
      </c>
      <c r="B144" s="2" t="inlineStr">
        <is>
          <t>allemande</t>
        </is>
      </c>
      <c r="C144" s="2" t="inlineStr">
        <is>
          <t>peinture</t>
        </is>
      </c>
      <c r="D144" s="2" t="inlineStr">
        <is>
          <t>19e</t>
        </is>
      </c>
      <c r="U144">
        <f>IF(ISNUMBER(SEARCH("fran",B144)),"France",IF(OR(ISNUMBER(SEARCH("italien",B144)),ISNUMBER(SEARCH("espagn",B144)),ISNUMBER(SEARCH("catalan",B144)),ISNUMBER(SEARCH("flamand",B144)),ISNUMBER(SEARCH("belge",B144)),ISNUMBER(SEARCH("hollandais",B144)),ISNUMBER(SEARCH("néerlandais",B144)),ISNUMBER(SEARCH("allemand",B144)),ISNUMBER(SEARCH("autrichien",B144)),ISNUMBER(SEARCH("suisse",B144)),ISNUMBER(SEARCH("anglais",B144)),ISNUMBER(SEARCH("britannique",B144)),ISNUMBER(SEARCH("écossais",B144)),ISNUMBER(SEARCH("irlandais",B144)),ISNUMBER(SEARCH("russe",B144)),ISNUMBER(SEARCH("portugais",B144)),ISNUMBER(SEARCH("danois",B144)),ISNUMBER(SEARCH("norvégien",B144)),ISNUMBER(SEARCH("suédois",B144)),ISNUMBER(SEARCH("finlandais",B144)),ISNUMBER(SEARCH("polonais",B144)),ISNUMBER(SEARCH("tchèque",B144)),ISNUMBER(SEARCH("hongrois",B144)),ISNUMBER(SEARCH("grec",B144)),ISNUMBER(SEARCH("byzantin",B144)),ISNUMBER(SEARCH("croate",B144)),ISNUMBER(SEARCH("ukrainien",B144)),ISNUMBER(SEARCH("bulgare",B144)),ISNUMBER(SEARCH("biélorusse",B144)),ISNUMBER(SEARCH("maltais",B144))),"Autres pays d'Europe",IF(OR(ISNUMBER(SEARCH("américain",B144)),ISNUMBER(SEARCH("mexicain",B144)),ISNUMBER(SEARCH("canadien",B144)),ISNUMBER(SEARCH("brésilien",B144)),ISNUMBER(SEARCH("argentin",B144))),"Amérique",IF(OR(ISNUMBER(SEARCH("chinois",B144)),ISNUMBER(SEARCH("japonais",B144)),ISNUMBER(SEARCH("coréen",B144)),ISNUMBER(SEARCH("indien",B144)),ISNUMBER(SEARCH("persan",B144)),ISNUMBER(SEARCH("iranien",B144))),"Asie","(non classée)"))))</f>
        <v/>
      </c>
    </row>
    <row r="145">
      <c r="A145" s="2" t="inlineStr">
        <is>
          <t>CATHARINA VAN HEMESSEN</t>
        </is>
      </c>
      <c r="B145" s="2" t="inlineStr">
        <is>
          <t>flamande (Belgique)</t>
        </is>
      </c>
      <c r="C145" s="2" t="inlineStr">
        <is>
          <t>peinture</t>
        </is>
      </c>
      <c r="D145" s="2" t="inlineStr">
        <is>
          <t>16e</t>
        </is>
      </c>
      <c r="U145">
        <f>IF(ISNUMBER(SEARCH("fran",B145)),"France",IF(OR(ISNUMBER(SEARCH("italien",B145)),ISNUMBER(SEARCH("espagn",B145)),ISNUMBER(SEARCH("catalan",B145)),ISNUMBER(SEARCH("flamand",B145)),ISNUMBER(SEARCH("belge",B145)),ISNUMBER(SEARCH("hollandais",B145)),ISNUMBER(SEARCH("néerlandais",B145)),ISNUMBER(SEARCH("allemand",B145)),ISNUMBER(SEARCH("autrichien",B145)),ISNUMBER(SEARCH("suisse",B145)),ISNUMBER(SEARCH("anglais",B145)),ISNUMBER(SEARCH("britannique",B145)),ISNUMBER(SEARCH("écossais",B145)),ISNUMBER(SEARCH("irlandais",B145)),ISNUMBER(SEARCH("russe",B145)),ISNUMBER(SEARCH("portugais",B145)),ISNUMBER(SEARCH("danois",B145)),ISNUMBER(SEARCH("norvégien",B145)),ISNUMBER(SEARCH("suédois",B145)),ISNUMBER(SEARCH("finlandais",B145)),ISNUMBER(SEARCH("polonais",B145)),ISNUMBER(SEARCH("tchèque",B145)),ISNUMBER(SEARCH("hongrois",B145)),ISNUMBER(SEARCH("grec",B145)),ISNUMBER(SEARCH("byzantin",B145)),ISNUMBER(SEARCH("croate",B145)),ISNUMBER(SEARCH("ukrainien",B145)),ISNUMBER(SEARCH("bulgare",B145)),ISNUMBER(SEARCH("biélorusse",B145)),ISNUMBER(SEARCH("maltais",B145))),"Autres pays d'Europe",IF(OR(ISNUMBER(SEARCH("américain",B145)),ISNUMBER(SEARCH("mexicain",B145)),ISNUMBER(SEARCH("canadien",B145)),ISNUMBER(SEARCH("brésilien",B145)),ISNUMBER(SEARCH("argentin",B145))),"Amérique",IF(OR(ISNUMBER(SEARCH("chinois",B145)),ISNUMBER(SEARCH("japonais",B145)),ISNUMBER(SEARCH("coréen",B145)),ISNUMBER(SEARCH("indien",B145)),ISNUMBER(SEARCH("persan",B145)),ISNUMBER(SEARCH("iranien",B145))),"Asie","(non classée)"))))</f>
        <v/>
      </c>
    </row>
    <row r="146">
      <c r="A146" s="2" t="inlineStr">
        <is>
          <t>CHARLES CORDIER</t>
        </is>
      </c>
      <c r="B146" s="2" t="inlineStr">
        <is>
          <t>française</t>
        </is>
      </c>
      <c r="C146" s="2" t="inlineStr">
        <is>
          <t>sculpture</t>
        </is>
      </c>
      <c r="D146" s="2" t="inlineStr">
        <is>
          <t>19e</t>
        </is>
      </c>
      <c r="U146">
        <f>IF(ISNUMBER(SEARCH("fran",B146)),"France",IF(OR(ISNUMBER(SEARCH("italien",B146)),ISNUMBER(SEARCH("espagn",B146)),ISNUMBER(SEARCH("catalan",B146)),ISNUMBER(SEARCH("flamand",B146)),ISNUMBER(SEARCH("belge",B146)),ISNUMBER(SEARCH("hollandais",B146)),ISNUMBER(SEARCH("néerlandais",B146)),ISNUMBER(SEARCH("allemand",B146)),ISNUMBER(SEARCH("autrichien",B146)),ISNUMBER(SEARCH("suisse",B146)),ISNUMBER(SEARCH("anglais",B146)),ISNUMBER(SEARCH("britannique",B146)),ISNUMBER(SEARCH("écossais",B146)),ISNUMBER(SEARCH("irlandais",B146)),ISNUMBER(SEARCH("russe",B146)),ISNUMBER(SEARCH("portugais",B146)),ISNUMBER(SEARCH("danois",B146)),ISNUMBER(SEARCH("norvégien",B146)),ISNUMBER(SEARCH("suédois",B146)),ISNUMBER(SEARCH("finlandais",B146)),ISNUMBER(SEARCH("polonais",B146)),ISNUMBER(SEARCH("tchèque",B146)),ISNUMBER(SEARCH("hongrois",B146)),ISNUMBER(SEARCH("grec",B146)),ISNUMBER(SEARCH("byzantin",B146)),ISNUMBER(SEARCH("croate",B146)),ISNUMBER(SEARCH("ukrainien",B146)),ISNUMBER(SEARCH("bulgare",B146)),ISNUMBER(SEARCH("biélorusse",B146)),ISNUMBER(SEARCH("maltais",B146))),"Autres pays d'Europe",IF(OR(ISNUMBER(SEARCH("américain",B146)),ISNUMBER(SEARCH("mexicain",B146)),ISNUMBER(SEARCH("canadien",B146)),ISNUMBER(SEARCH("brésilien",B146)),ISNUMBER(SEARCH("argentin",B146))),"Amérique",IF(OR(ISNUMBER(SEARCH("chinois",B146)),ISNUMBER(SEARCH("japonais",B146)),ISNUMBER(SEARCH("coréen",B146)),ISNUMBER(SEARCH("indien",B146)),ISNUMBER(SEARCH("persan",B146)),ISNUMBER(SEARCH("iranien",B146))),"Asie","(non classée)"))))</f>
        <v/>
      </c>
    </row>
    <row r="147">
      <c r="A147" s="2" t="inlineStr">
        <is>
          <t>CHARLES DESPIAU</t>
        </is>
      </c>
      <c r="B147" s="2" t="inlineStr">
        <is>
          <t>française</t>
        </is>
      </c>
      <c r="C147" s="2" t="inlineStr">
        <is>
          <t>sculpture</t>
        </is>
      </c>
      <c r="D147" s="2" t="inlineStr">
        <is>
          <t>20e</t>
        </is>
      </c>
      <c r="U147">
        <f>IF(ISNUMBER(SEARCH("fran",B147)),"France",IF(OR(ISNUMBER(SEARCH("italien",B147)),ISNUMBER(SEARCH("espagn",B147)),ISNUMBER(SEARCH("catalan",B147)),ISNUMBER(SEARCH("flamand",B147)),ISNUMBER(SEARCH("belge",B147)),ISNUMBER(SEARCH("hollandais",B147)),ISNUMBER(SEARCH("néerlandais",B147)),ISNUMBER(SEARCH("allemand",B147)),ISNUMBER(SEARCH("autrichien",B147)),ISNUMBER(SEARCH("suisse",B147)),ISNUMBER(SEARCH("anglais",B147)),ISNUMBER(SEARCH("britannique",B147)),ISNUMBER(SEARCH("écossais",B147)),ISNUMBER(SEARCH("irlandais",B147)),ISNUMBER(SEARCH("russe",B147)),ISNUMBER(SEARCH("portugais",B147)),ISNUMBER(SEARCH("danois",B147)),ISNUMBER(SEARCH("norvégien",B147)),ISNUMBER(SEARCH("suédois",B147)),ISNUMBER(SEARCH("finlandais",B147)),ISNUMBER(SEARCH("polonais",B147)),ISNUMBER(SEARCH("tchèque",B147)),ISNUMBER(SEARCH("hongrois",B147)),ISNUMBER(SEARCH("grec",B147)),ISNUMBER(SEARCH("byzantin",B147)),ISNUMBER(SEARCH("croate",B147)),ISNUMBER(SEARCH("ukrainien",B147)),ISNUMBER(SEARCH("bulgare",B147)),ISNUMBER(SEARCH("biélorusse",B147)),ISNUMBER(SEARCH("maltais",B147))),"Autres pays d'Europe",IF(OR(ISNUMBER(SEARCH("américain",B147)),ISNUMBER(SEARCH("mexicain",B147)),ISNUMBER(SEARCH("canadien",B147)),ISNUMBER(SEARCH("brésilien",B147)),ISNUMBER(SEARCH("argentin",B147))),"Amérique",IF(OR(ISNUMBER(SEARCH("chinois",B147)),ISNUMBER(SEARCH("japonais",B147)),ISNUMBER(SEARCH("coréen",B147)),ISNUMBER(SEARCH("indien",B147)),ISNUMBER(SEARCH("persan",B147)),ISNUMBER(SEARCH("iranien",B147))),"Asie","(non classée)"))))</f>
        <v/>
      </c>
    </row>
    <row r="148">
      <c r="A148" s="2" t="inlineStr">
        <is>
          <t>CHARLES LE BRUN</t>
        </is>
      </c>
      <c r="B148" s="2" t="inlineStr">
        <is>
          <t>française</t>
        </is>
      </c>
      <c r="C148" s="2" t="inlineStr">
        <is>
          <t>peinture</t>
        </is>
      </c>
      <c r="D148" s="2" t="inlineStr">
        <is>
          <t>17e</t>
        </is>
      </c>
      <c r="U148">
        <f>IF(ISNUMBER(SEARCH("fran",B148)),"France",IF(OR(ISNUMBER(SEARCH("italien",B148)),ISNUMBER(SEARCH("espagn",B148)),ISNUMBER(SEARCH("catalan",B148)),ISNUMBER(SEARCH("flamand",B148)),ISNUMBER(SEARCH("belge",B148)),ISNUMBER(SEARCH("hollandais",B148)),ISNUMBER(SEARCH("néerlandais",B148)),ISNUMBER(SEARCH("allemand",B148)),ISNUMBER(SEARCH("autrichien",B148)),ISNUMBER(SEARCH("suisse",B148)),ISNUMBER(SEARCH("anglais",B148)),ISNUMBER(SEARCH("britannique",B148)),ISNUMBER(SEARCH("écossais",B148)),ISNUMBER(SEARCH("irlandais",B148)),ISNUMBER(SEARCH("russe",B148)),ISNUMBER(SEARCH("portugais",B148)),ISNUMBER(SEARCH("danois",B148)),ISNUMBER(SEARCH("norvégien",B148)),ISNUMBER(SEARCH("suédois",B148)),ISNUMBER(SEARCH("finlandais",B148)),ISNUMBER(SEARCH("polonais",B148)),ISNUMBER(SEARCH("tchèque",B148)),ISNUMBER(SEARCH("hongrois",B148)),ISNUMBER(SEARCH("grec",B148)),ISNUMBER(SEARCH("byzantin",B148)),ISNUMBER(SEARCH("croate",B148)),ISNUMBER(SEARCH("ukrainien",B148)),ISNUMBER(SEARCH("bulgare",B148)),ISNUMBER(SEARCH("biélorusse",B148)),ISNUMBER(SEARCH("maltais",B148))),"Autres pays d'Europe",IF(OR(ISNUMBER(SEARCH("américain",B148)),ISNUMBER(SEARCH("mexicain",B148)),ISNUMBER(SEARCH("canadien",B148)),ISNUMBER(SEARCH("brésilien",B148)),ISNUMBER(SEARCH("argentin",B148))),"Amérique",IF(OR(ISNUMBER(SEARCH("chinois",B148)),ISNUMBER(SEARCH("japonais",B148)),ISNUMBER(SEARCH("coréen",B148)),ISNUMBER(SEARCH("indien",B148)),ISNUMBER(SEARCH("persan",B148)),ISNUMBER(SEARCH("iranien",B148))),"Asie","(non classée)"))))</f>
        <v/>
      </c>
    </row>
    <row r="149">
      <c r="A149" s="2" t="inlineStr">
        <is>
          <t>CHARLES WILLSON PEALE</t>
        </is>
      </c>
      <c r="B149" s="2" t="inlineStr">
        <is>
          <t>américaine</t>
        </is>
      </c>
      <c r="C149" s="2" t="inlineStr">
        <is>
          <t>peinture</t>
        </is>
      </c>
      <c r="D149" s="2" t="inlineStr">
        <is>
          <t>18e</t>
        </is>
      </c>
      <c r="U149">
        <f>IF(ISNUMBER(SEARCH("fran",B149)),"France",IF(OR(ISNUMBER(SEARCH("italien",B149)),ISNUMBER(SEARCH("espagn",B149)),ISNUMBER(SEARCH("catalan",B149)),ISNUMBER(SEARCH("flamand",B149)),ISNUMBER(SEARCH("belge",B149)),ISNUMBER(SEARCH("hollandais",B149)),ISNUMBER(SEARCH("néerlandais",B149)),ISNUMBER(SEARCH("allemand",B149)),ISNUMBER(SEARCH("autrichien",B149)),ISNUMBER(SEARCH("suisse",B149)),ISNUMBER(SEARCH("anglais",B149)),ISNUMBER(SEARCH("britannique",B149)),ISNUMBER(SEARCH("écossais",B149)),ISNUMBER(SEARCH("irlandais",B149)),ISNUMBER(SEARCH("russe",B149)),ISNUMBER(SEARCH("portugais",B149)),ISNUMBER(SEARCH("danois",B149)),ISNUMBER(SEARCH("norvégien",B149)),ISNUMBER(SEARCH("suédois",B149)),ISNUMBER(SEARCH("finlandais",B149)),ISNUMBER(SEARCH("polonais",B149)),ISNUMBER(SEARCH("tchèque",B149)),ISNUMBER(SEARCH("hongrois",B149)),ISNUMBER(SEARCH("grec",B149)),ISNUMBER(SEARCH("byzantin",B149)),ISNUMBER(SEARCH("croate",B149)),ISNUMBER(SEARCH("ukrainien",B149)),ISNUMBER(SEARCH("bulgare",B149)),ISNUMBER(SEARCH("biélorusse",B149)),ISNUMBER(SEARCH("maltais",B149))),"Autres pays d'Europe",IF(OR(ISNUMBER(SEARCH("américain",B149)),ISNUMBER(SEARCH("mexicain",B149)),ISNUMBER(SEARCH("canadien",B149)),ISNUMBER(SEARCH("brésilien",B149)),ISNUMBER(SEARCH("argentin",B149))),"Amérique",IF(OR(ISNUMBER(SEARCH("chinois",B149)),ISNUMBER(SEARCH("japonais",B149)),ISNUMBER(SEARCH("coréen",B149)),ISNUMBER(SEARCH("indien",B149)),ISNUMBER(SEARCH("persan",B149)),ISNUMBER(SEARCH("iranien",B149))),"Asie","(non classée)"))))</f>
        <v/>
      </c>
    </row>
    <row r="150">
      <c r="A150" s="2" t="inlineStr">
        <is>
          <t>CHARLES-JOSEPH NATOIRE</t>
        </is>
      </c>
      <c r="B150" s="2" t="inlineStr">
        <is>
          <t>française</t>
        </is>
      </c>
      <c r="C150" s="2" t="inlineStr">
        <is>
          <t>peinture</t>
        </is>
      </c>
      <c r="D150" s="2" t="inlineStr">
        <is>
          <t>18e</t>
        </is>
      </c>
      <c r="U150">
        <f>IF(ISNUMBER(SEARCH("fran",B150)),"France",IF(OR(ISNUMBER(SEARCH("italien",B150)),ISNUMBER(SEARCH("espagn",B150)),ISNUMBER(SEARCH("catalan",B150)),ISNUMBER(SEARCH("flamand",B150)),ISNUMBER(SEARCH("belge",B150)),ISNUMBER(SEARCH("hollandais",B150)),ISNUMBER(SEARCH("néerlandais",B150)),ISNUMBER(SEARCH("allemand",B150)),ISNUMBER(SEARCH("autrichien",B150)),ISNUMBER(SEARCH("suisse",B150)),ISNUMBER(SEARCH("anglais",B150)),ISNUMBER(SEARCH("britannique",B150)),ISNUMBER(SEARCH("écossais",B150)),ISNUMBER(SEARCH("irlandais",B150)),ISNUMBER(SEARCH("russe",B150)),ISNUMBER(SEARCH("portugais",B150)),ISNUMBER(SEARCH("danois",B150)),ISNUMBER(SEARCH("norvégien",B150)),ISNUMBER(SEARCH("suédois",B150)),ISNUMBER(SEARCH("finlandais",B150)),ISNUMBER(SEARCH("polonais",B150)),ISNUMBER(SEARCH("tchèque",B150)),ISNUMBER(SEARCH("hongrois",B150)),ISNUMBER(SEARCH("grec",B150)),ISNUMBER(SEARCH("byzantin",B150)),ISNUMBER(SEARCH("croate",B150)),ISNUMBER(SEARCH("ukrainien",B150)),ISNUMBER(SEARCH("bulgare",B150)),ISNUMBER(SEARCH("biélorusse",B150)),ISNUMBER(SEARCH("maltais",B150))),"Autres pays d'Europe",IF(OR(ISNUMBER(SEARCH("américain",B150)),ISNUMBER(SEARCH("mexicain",B150)),ISNUMBER(SEARCH("canadien",B150)),ISNUMBER(SEARCH("brésilien",B150)),ISNUMBER(SEARCH("argentin",B150))),"Amérique",IF(OR(ISNUMBER(SEARCH("chinois",B150)),ISNUMBER(SEARCH("japonais",B150)),ISNUMBER(SEARCH("coréen",B150)),ISNUMBER(SEARCH("indien",B150)),ISNUMBER(SEARCH("persan",B150)),ISNUMBER(SEARCH("iranien",B150))),"Asie","(non classée)"))))</f>
        <v/>
      </c>
    </row>
    <row r="151">
      <c r="A151" s="2" t="inlineStr">
        <is>
          <t>CHAÏM SOUTINE</t>
        </is>
      </c>
      <c r="B151" s="2" t="inlineStr">
        <is>
          <t>biélorusse</t>
        </is>
      </c>
      <c r="C151" s="2" t="inlineStr">
        <is>
          <t>peinture</t>
        </is>
      </c>
      <c r="D151" s="2" t="inlineStr">
        <is>
          <t>20e</t>
        </is>
      </c>
      <c r="U151">
        <f>IF(ISNUMBER(SEARCH("fran",B151)),"France",IF(OR(ISNUMBER(SEARCH("italien",B151)),ISNUMBER(SEARCH("espagn",B151)),ISNUMBER(SEARCH("catalan",B151)),ISNUMBER(SEARCH("flamand",B151)),ISNUMBER(SEARCH("belge",B151)),ISNUMBER(SEARCH("hollandais",B151)),ISNUMBER(SEARCH("néerlandais",B151)),ISNUMBER(SEARCH("allemand",B151)),ISNUMBER(SEARCH("autrichien",B151)),ISNUMBER(SEARCH("suisse",B151)),ISNUMBER(SEARCH("anglais",B151)),ISNUMBER(SEARCH("britannique",B151)),ISNUMBER(SEARCH("écossais",B151)),ISNUMBER(SEARCH("irlandais",B151)),ISNUMBER(SEARCH("russe",B151)),ISNUMBER(SEARCH("portugais",B151)),ISNUMBER(SEARCH("danois",B151)),ISNUMBER(SEARCH("norvégien",B151)),ISNUMBER(SEARCH("suédois",B151)),ISNUMBER(SEARCH("finlandais",B151)),ISNUMBER(SEARCH("polonais",B151)),ISNUMBER(SEARCH("tchèque",B151)),ISNUMBER(SEARCH("hongrois",B151)),ISNUMBER(SEARCH("grec",B151)),ISNUMBER(SEARCH("byzantin",B151)),ISNUMBER(SEARCH("croate",B151)),ISNUMBER(SEARCH("ukrainien",B151)),ISNUMBER(SEARCH("bulgare",B151)),ISNUMBER(SEARCH("biélorusse",B151)),ISNUMBER(SEARCH("maltais",B151))),"Autres pays d'Europe",IF(OR(ISNUMBER(SEARCH("américain",B151)),ISNUMBER(SEARCH("mexicain",B151)),ISNUMBER(SEARCH("canadien",B151)),ISNUMBER(SEARCH("brésilien",B151)),ISNUMBER(SEARCH("argentin",B151))),"Amérique",IF(OR(ISNUMBER(SEARCH("chinois",B151)),ISNUMBER(SEARCH("japonais",B151)),ISNUMBER(SEARCH("coréen",B151)),ISNUMBER(SEARCH("indien",B151)),ISNUMBER(SEARCH("persan",B151)),ISNUMBER(SEARCH("iranien",B151))),"Asie","(non classée)"))))</f>
        <v/>
      </c>
    </row>
    <row r="152">
      <c r="A152" s="2" t="inlineStr">
        <is>
          <t>CHEN HONGSHOU</t>
        </is>
      </c>
      <c r="B152" s="2" t="inlineStr">
        <is>
          <t>chinoise</t>
        </is>
      </c>
      <c r="C152" s="2" t="inlineStr">
        <is>
          <t>peinture</t>
        </is>
      </c>
      <c r="D152" s="2" t="inlineStr">
        <is>
          <t>17e</t>
        </is>
      </c>
      <c r="U152">
        <f>IF(ISNUMBER(SEARCH("fran",B152)),"France",IF(OR(ISNUMBER(SEARCH("italien",B152)),ISNUMBER(SEARCH("espagn",B152)),ISNUMBER(SEARCH("catalan",B152)),ISNUMBER(SEARCH("flamand",B152)),ISNUMBER(SEARCH("belge",B152)),ISNUMBER(SEARCH("hollandais",B152)),ISNUMBER(SEARCH("néerlandais",B152)),ISNUMBER(SEARCH("allemand",B152)),ISNUMBER(SEARCH("autrichien",B152)),ISNUMBER(SEARCH("suisse",B152)),ISNUMBER(SEARCH("anglais",B152)),ISNUMBER(SEARCH("britannique",B152)),ISNUMBER(SEARCH("écossais",B152)),ISNUMBER(SEARCH("irlandais",B152)),ISNUMBER(SEARCH("russe",B152)),ISNUMBER(SEARCH("portugais",B152)),ISNUMBER(SEARCH("danois",B152)),ISNUMBER(SEARCH("norvégien",B152)),ISNUMBER(SEARCH("suédois",B152)),ISNUMBER(SEARCH("finlandais",B152)),ISNUMBER(SEARCH("polonais",B152)),ISNUMBER(SEARCH("tchèque",B152)),ISNUMBER(SEARCH("hongrois",B152)),ISNUMBER(SEARCH("grec",B152)),ISNUMBER(SEARCH("byzantin",B152)),ISNUMBER(SEARCH("croate",B152)),ISNUMBER(SEARCH("ukrainien",B152)),ISNUMBER(SEARCH("bulgare",B152)),ISNUMBER(SEARCH("biélorusse",B152)),ISNUMBER(SEARCH("maltais",B152))),"Autres pays d'Europe",IF(OR(ISNUMBER(SEARCH("américain",B152)),ISNUMBER(SEARCH("mexicain",B152)),ISNUMBER(SEARCH("canadien",B152)),ISNUMBER(SEARCH("brésilien",B152)),ISNUMBER(SEARCH("argentin",B152))),"Amérique",IF(OR(ISNUMBER(SEARCH("chinois",B152)),ISNUMBER(SEARCH("japonais",B152)),ISNUMBER(SEARCH("coréen",B152)),ISNUMBER(SEARCH("indien",B152)),ISNUMBER(SEARCH("persan",B152)),ISNUMBER(SEARCH("iranien",B152))),"Asie","(non classée)"))))</f>
        <v/>
      </c>
    </row>
    <row r="153">
      <c r="A153" s="2" t="inlineStr">
        <is>
          <t>CHRISTIAN DANIEL RAUCH</t>
        </is>
      </c>
      <c r="B153" s="2" t="inlineStr">
        <is>
          <t>allemande</t>
        </is>
      </c>
      <c r="C153" s="2" t="inlineStr">
        <is>
          <t>sculpture</t>
        </is>
      </c>
      <c r="D153" s="2" t="inlineStr">
        <is>
          <t>19e</t>
        </is>
      </c>
      <c r="U153">
        <f>IF(ISNUMBER(SEARCH("fran",B153)),"France",IF(OR(ISNUMBER(SEARCH("italien",B153)),ISNUMBER(SEARCH("espagn",B153)),ISNUMBER(SEARCH("catalan",B153)),ISNUMBER(SEARCH("flamand",B153)),ISNUMBER(SEARCH("belge",B153)),ISNUMBER(SEARCH("hollandais",B153)),ISNUMBER(SEARCH("néerlandais",B153)),ISNUMBER(SEARCH("allemand",B153)),ISNUMBER(SEARCH("autrichien",B153)),ISNUMBER(SEARCH("suisse",B153)),ISNUMBER(SEARCH("anglais",B153)),ISNUMBER(SEARCH("britannique",B153)),ISNUMBER(SEARCH("écossais",B153)),ISNUMBER(SEARCH("irlandais",B153)),ISNUMBER(SEARCH("russe",B153)),ISNUMBER(SEARCH("portugais",B153)),ISNUMBER(SEARCH("danois",B153)),ISNUMBER(SEARCH("norvégien",B153)),ISNUMBER(SEARCH("suédois",B153)),ISNUMBER(SEARCH("finlandais",B153)),ISNUMBER(SEARCH("polonais",B153)),ISNUMBER(SEARCH("tchèque",B153)),ISNUMBER(SEARCH("hongrois",B153)),ISNUMBER(SEARCH("grec",B153)),ISNUMBER(SEARCH("byzantin",B153)),ISNUMBER(SEARCH("croate",B153)),ISNUMBER(SEARCH("ukrainien",B153)),ISNUMBER(SEARCH("bulgare",B153)),ISNUMBER(SEARCH("biélorusse",B153)),ISNUMBER(SEARCH("maltais",B153))),"Autres pays d'Europe",IF(OR(ISNUMBER(SEARCH("américain",B153)),ISNUMBER(SEARCH("mexicain",B153)),ISNUMBER(SEARCH("canadien",B153)),ISNUMBER(SEARCH("brésilien",B153)),ISNUMBER(SEARCH("argentin",B153))),"Amérique",IF(OR(ISNUMBER(SEARCH("chinois",B153)),ISNUMBER(SEARCH("japonais",B153)),ISNUMBER(SEARCH("coréen",B153)),ISNUMBER(SEARCH("indien",B153)),ISNUMBER(SEARCH("persan",B153)),ISNUMBER(SEARCH("iranien",B153))),"Asie","(non classée)"))))</f>
        <v/>
      </c>
    </row>
    <row r="154">
      <c r="A154" s="2" t="inlineStr">
        <is>
          <t>CHRISTOPHE-GABRIEL ALLEGRAIN</t>
        </is>
      </c>
      <c r="B154" s="2" t="inlineStr">
        <is>
          <t>française</t>
        </is>
      </c>
      <c r="C154" s="2" t="inlineStr">
        <is>
          <t>sculpture</t>
        </is>
      </c>
      <c r="D154" s="2" t="inlineStr">
        <is>
          <t>18e</t>
        </is>
      </c>
      <c r="U154">
        <f>IF(ISNUMBER(SEARCH("fran",B154)),"France",IF(OR(ISNUMBER(SEARCH("italien",B154)),ISNUMBER(SEARCH("espagn",B154)),ISNUMBER(SEARCH("catalan",B154)),ISNUMBER(SEARCH("flamand",B154)),ISNUMBER(SEARCH("belge",B154)),ISNUMBER(SEARCH("hollandais",B154)),ISNUMBER(SEARCH("néerlandais",B154)),ISNUMBER(SEARCH("allemand",B154)),ISNUMBER(SEARCH("autrichien",B154)),ISNUMBER(SEARCH("suisse",B154)),ISNUMBER(SEARCH("anglais",B154)),ISNUMBER(SEARCH("britannique",B154)),ISNUMBER(SEARCH("écossais",B154)),ISNUMBER(SEARCH("irlandais",B154)),ISNUMBER(SEARCH("russe",B154)),ISNUMBER(SEARCH("portugais",B154)),ISNUMBER(SEARCH("danois",B154)),ISNUMBER(SEARCH("norvégien",B154)),ISNUMBER(SEARCH("suédois",B154)),ISNUMBER(SEARCH("finlandais",B154)),ISNUMBER(SEARCH("polonais",B154)),ISNUMBER(SEARCH("tchèque",B154)),ISNUMBER(SEARCH("hongrois",B154)),ISNUMBER(SEARCH("grec",B154)),ISNUMBER(SEARCH("byzantin",B154)),ISNUMBER(SEARCH("croate",B154)),ISNUMBER(SEARCH("ukrainien",B154)),ISNUMBER(SEARCH("bulgare",B154)),ISNUMBER(SEARCH("biélorusse",B154)),ISNUMBER(SEARCH("maltais",B154))),"Autres pays d'Europe",IF(OR(ISNUMBER(SEARCH("américain",B154)),ISNUMBER(SEARCH("mexicain",B154)),ISNUMBER(SEARCH("canadien",B154)),ISNUMBER(SEARCH("brésilien",B154)),ISNUMBER(SEARCH("argentin",B154))),"Amérique",IF(OR(ISNUMBER(SEARCH("chinois",B154)),ISNUMBER(SEARCH("japonais",B154)),ISNUMBER(SEARCH("coréen",B154)),ISNUMBER(SEARCH("indien",B154)),ISNUMBER(SEARCH("persan",B154)),ISNUMBER(SEARCH("iranien",B154))),"Asie","(non classée)"))))</f>
        <v/>
      </c>
    </row>
    <row r="155">
      <c r="A155" s="2" t="inlineStr">
        <is>
          <t>CHRISTOPHER NEVINSON</t>
        </is>
      </c>
      <c r="B155" s="2" t="inlineStr">
        <is>
          <t>anglaise (Royaume-Uni)</t>
        </is>
      </c>
      <c r="C155" s="2" t="inlineStr">
        <is>
          <t>peinture</t>
        </is>
      </c>
      <c r="D155" s="2" t="inlineStr">
        <is>
          <t>20e</t>
        </is>
      </c>
      <c r="U155">
        <f>IF(ISNUMBER(SEARCH("fran",B155)),"France",IF(OR(ISNUMBER(SEARCH("italien",B155)),ISNUMBER(SEARCH("espagn",B155)),ISNUMBER(SEARCH("catalan",B155)),ISNUMBER(SEARCH("flamand",B155)),ISNUMBER(SEARCH("belge",B155)),ISNUMBER(SEARCH("hollandais",B155)),ISNUMBER(SEARCH("néerlandais",B155)),ISNUMBER(SEARCH("allemand",B155)),ISNUMBER(SEARCH("autrichien",B155)),ISNUMBER(SEARCH("suisse",B155)),ISNUMBER(SEARCH("anglais",B155)),ISNUMBER(SEARCH("britannique",B155)),ISNUMBER(SEARCH("écossais",B155)),ISNUMBER(SEARCH("irlandais",B155)),ISNUMBER(SEARCH("russe",B155)),ISNUMBER(SEARCH("portugais",B155)),ISNUMBER(SEARCH("danois",B155)),ISNUMBER(SEARCH("norvégien",B155)),ISNUMBER(SEARCH("suédois",B155)),ISNUMBER(SEARCH("finlandais",B155)),ISNUMBER(SEARCH("polonais",B155)),ISNUMBER(SEARCH("tchèque",B155)),ISNUMBER(SEARCH("hongrois",B155)),ISNUMBER(SEARCH("grec",B155)),ISNUMBER(SEARCH("byzantin",B155)),ISNUMBER(SEARCH("croate",B155)),ISNUMBER(SEARCH("ukrainien",B155)),ISNUMBER(SEARCH("bulgare",B155)),ISNUMBER(SEARCH("biélorusse",B155)),ISNUMBER(SEARCH("maltais",B155))),"Autres pays d'Europe",IF(OR(ISNUMBER(SEARCH("américain",B155)),ISNUMBER(SEARCH("mexicain",B155)),ISNUMBER(SEARCH("canadien",B155)),ISNUMBER(SEARCH("brésilien",B155)),ISNUMBER(SEARCH("argentin",B155))),"Amérique",IF(OR(ISNUMBER(SEARCH("chinois",B155)),ISNUMBER(SEARCH("japonais",B155)),ISNUMBER(SEARCH("coréen",B155)),ISNUMBER(SEARCH("indien",B155)),ISNUMBER(SEARCH("persan",B155)),ISNUMBER(SEARCH("iranien",B155))),"Asie","(non classée)"))))</f>
        <v/>
      </c>
    </row>
    <row r="156">
      <c r="A156" s="2" t="inlineStr">
        <is>
          <t>CHRISTOPHER WOOD</t>
        </is>
      </c>
      <c r="B156" s="2" t="inlineStr">
        <is>
          <t>anglaise (Royaume-Uni)</t>
        </is>
      </c>
      <c r="C156" s="2" t="inlineStr">
        <is>
          <t>peinture</t>
        </is>
      </c>
      <c r="D156" s="2" t="inlineStr">
        <is>
          <t>20e</t>
        </is>
      </c>
      <c r="U156">
        <f>IF(ISNUMBER(SEARCH("fran",B156)),"France",IF(OR(ISNUMBER(SEARCH("italien",B156)),ISNUMBER(SEARCH("espagn",B156)),ISNUMBER(SEARCH("catalan",B156)),ISNUMBER(SEARCH("flamand",B156)),ISNUMBER(SEARCH("belge",B156)),ISNUMBER(SEARCH("hollandais",B156)),ISNUMBER(SEARCH("néerlandais",B156)),ISNUMBER(SEARCH("allemand",B156)),ISNUMBER(SEARCH("autrichien",B156)),ISNUMBER(SEARCH("suisse",B156)),ISNUMBER(SEARCH("anglais",B156)),ISNUMBER(SEARCH("britannique",B156)),ISNUMBER(SEARCH("écossais",B156)),ISNUMBER(SEARCH("irlandais",B156)),ISNUMBER(SEARCH("russe",B156)),ISNUMBER(SEARCH("portugais",B156)),ISNUMBER(SEARCH("danois",B156)),ISNUMBER(SEARCH("norvégien",B156)),ISNUMBER(SEARCH("suédois",B156)),ISNUMBER(SEARCH("finlandais",B156)),ISNUMBER(SEARCH("polonais",B156)),ISNUMBER(SEARCH("tchèque",B156)),ISNUMBER(SEARCH("hongrois",B156)),ISNUMBER(SEARCH("grec",B156)),ISNUMBER(SEARCH("byzantin",B156)),ISNUMBER(SEARCH("croate",B156)),ISNUMBER(SEARCH("ukrainien",B156)),ISNUMBER(SEARCH("bulgare",B156)),ISNUMBER(SEARCH("biélorusse",B156)),ISNUMBER(SEARCH("maltais",B156))),"Autres pays d'Europe",IF(OR(ISNUMBER(SEARCH("américain",B156)),ISNUMBER(SEARCH("mexicain",B156)),ISNUMBER(SEARCH("canadien",B156)),ISNUMBER(SEARCH("brésilien",B156)),ISNUMBER(SEARCH("argentin",B156))),"Amérique",IF(OR(ISNUMBER(SEARCH("chinois",B156)),ISNUMBER(SEARCH("japonais",B156)),ISNUMBER(SEARCH("coréen",B156)),ISNUMBER(SEARCH("indien",B156)),ISNUMBER(SEARCH("persan",B156)),ISNUMBER(SEARCH("iranien",B156))),"Asie","(non classée)"))))</f>
        <v/>
      </c>
    </row>
    <row r="157">
      <c r="A157" s="2" t="inlineStr">
        <is>
          <t>CIMABUE</t>
        </is>
      </c>
      <c r="B157" s="2" t="inlineStr">
        <is>
          <t>italienne</t>
        </is>
      </c>
      <c r="C157" s="2" t="inlineStr">
        <is>
          <t>peinture</t>
        </is>
      </c>
      <c r="D157" s="2" t="inlineStr">
        <is>
          <t>14e</t>
        </is>
      </c>
      <c r="U157">
        <f>IF(ISNUMBER(SEARCH("fran",B157)),"France",IF(OR(ISNUMBER(SEARCH("italien",B157)),ISNUMBER(SEARCH("espagn",B157)),ISNUMBER(SEARCH("catalan",B157)),ISNUMBER(SEARCH("flamand",B157)),ISNUMBER(SEARCH("belge",B157)),ISNUMBER(SEARCH("hollandais",B157)),ISNUMBER(SEARCH("néerlandais",B157)),ISNUMBER(SEARCH("allemand",B157)),ISNUMBER(SEARCH("autrichien",B157)),ISNUMBER(SEARCH("suisse",B157)),ISNUMBER(SEARCH("anglais",B157)),ISNUMBER(SEARCH("britannique",B157)),ISNUMBER(SEARCH("écossais",B157)),ISNUMBER(SEARCH("irlandais",B157)),ISNUMBER(SEARCH("russe",B157)),ISNUMBER(SEARCH("portugais",B157)),ISNUMBER(SEARCH("danois",B157)),ISNUMBER(SEARCH("norvégien",B157)),ISNUMBER(SEARCH("suédois",B157)),ISNUMBER(SEARCH("finlandais",B157)),ISNUMBER(SEARCH("polonais",B157)),ISNUMBER(SEARCH("tchèque",B157)),ISNUMBER(SEARCH("hongrois",B157)),ISNUMBER(SEARCH("grec",B157)),ISNUMBER(SEARCH("byzantin",B157)),ISNUMBER(SEARCH("croate",B157)),ISNUMBER(SEARCH("ukrainien",B157)),ISNUMBER(SEARCH("bulgare",B157)),ISNUMBER(SEARCH("biélorusse",B157)),ISNUMBER(SEARCH("maltais",B157))),"Autres pays d'Europe",IF(OR(ISNUMBER(SEARCH("américain",B157)),ISNUMBER(SEARCH("mexicain",B157)),ISNUMBER(SEARCH("canadien",B157)),ISNUMBER(SEARCH("brésilien",B157)),ISNUMBER(SEARCH("argentin",B157))),"Amérique",IF(OR(ISNUMBER(SEARCH("chinois",B157)),ISNUMBER(SEARCH("japonais",B157)),ISNUMBER(SEARCH("coréen",B157)),ISNUMBER(SEARCH("indien",B157)),ISNUMBER(SEARCH("persan",B157)),ISNUMBER(SEARCH("iranien",B157))),"Asie","(non classée)"))))</f>
        <v/>
      </c>
    </row>
    <row r="158">
      <c r="A158" s="2" t="inlineStr">
        <is>
          <t>CLAUDE JOSEPH VERNET</t>
        </is>
      </c>
      <c r="B158" s="2" t="inlineStr">
        <is>
          <t>française</t>
        </is>
      </c>
      <c r="C158" s="2" t="inlineStr">
        <is>
          <t>peinture</t>
        </is>
      </c>
      <c r="D158" s="2" t="inlineStr">
        <is>
          <t>18e</t>
        </is>
      </c>
      <c r="U158">
        <f>IF(ISNUMBER(SEARCH("fran",B158)),"France",IF(OR(ISNUMBER(SEARCH("italien",B158)),ISNUMBER(SEARCH("espagn",B158)),ISNUMBER(SEARCH("catalan",B158)),ISNUMBER(SEARCH("flamand",B158)),ISNUMBER(SEARCH("belge",B158)),ISNUMBER(SEARCH("hollandais",B158)),ISNUMBER(SEARCH("néerlandais",B158)),ISNUMBER(SEARCH("allemand",B158)),ISNUMBER(SEARCH("autrichien",B158)),ISNUMBER(SEARCH("suisse",B158)),ISNUMBER(SEARCH("anglais",B158)),ISNUMBER(SEARCH("britannique",B158)),ISNUMBER(SEARCH("écossais",B158)),ISNUMBER(SEARCH("irlandais",B158)),ISNUMBER(SEARCH("russe",B158)),ISNUMBER(SEARCH("portugais",B158)),ISNUMBER(SEARCH("danois",B158)),ISNUMBER(SEARCH("norvégien",B158)),ISNUMBER(SEARCH("suédois",B158)),ISNUMBER(SEARCH("finlandais",B158)),ISNUMBER(SEARCH("polonais",B158)),ISNUMBER(SEARCH("tchèque",B158)),ISNUMBER(SEARCH("hongrois",B158)),ISNUMBER(SEARCH("grec",B158)),ISNUMBER(SEARCH("byzantin",B158)),ISNUMBER(SEARCH("croate",B158)),ISNUMBER(SEARCH("ukrainien",B158)),ISNUMBER(SEARCH("bulgare",B158)),ISNUMBER(SEARCH("biélorusse",B158)),ISNUMBER(SEARCH("maltais",B158))),"Autres pays d'Europe",IF(OR(ISNUMBER(SEARCH("américain",B158)),ISNUMBER(SEARCH("mexicain",B158)),ISNUMBER(SEARCH("canadien",B158)),ISNUMBER(SEARCH("brésilien",B158)),ISNUMBER(SEARCH("argentin",B158))),"Amérique",IF(OR(ISNUMBER(SEARCH("chinois",B158)),ISNUMBER(SEARCH("japonais",B158)),ISNUMBER(SEARCH("coréen",B158)),ISNUMBER(SEARCH("indien",B158)),ISNUMBER(SEARCH("persan",B158)),ISNUMBER(SEARCH("iranien",B158))),"Asie","(non classée)"))))</f>
        <v/>
      </c>
    </row>
    <row r="159">
      <c r="A159" s="2" t="inlineStr">
        <is>
          <t>CLAUDE LORRAIN</t>
        </is>
      </c>
      <c r="B159" s="2" t="inlineStr">
        <is>
          <t>française</t>
        </is>
      </c>
      <c r="C159" s="2" t="inlineStr">
        <is>
          <t>peinture</t>
        </is>
      </c>
      <c r="D159" s="2" t="inlineStr">
        <is>
          <t>17e</t>
        </is>
      </c>
      <c r="U159">
        <f>IF(ISNUMBER(SEARCH("fran",B159)),"France",IF(OR(ISNUMBER(SEARCH("italien",B159)),ISNUMBER(SEARCH("espagn",B159)),ISNUMBER(SEARCH("catalan",B159)),ISNUMBER(SEARCH("flamand",B159)),ISNUMBER(SEARCH("belge",B159)),ISNUMBER(SEARCH("hollandais",B159)),ISNUMBER(SEARCH("néerlandais",B159)),ISNUMBER(SEARCH("allemand",B159)),ISNUMBER(SEARCH("autrichien",B159)),ISNUMBER(SEARCH("suisse",B159)),ISNUMBER(SEARCH("anglais",B159)),ISNUMBER(SEARCH("britannique",B159)),ISNUMBER(SEARCH("écossais",B159)),ISNUMBER(SEARCH("irlandais",B159)),ISNUMBER(SEARCH("russe",B159)),ISNUMBER(SEARCH("portugais",B159)),ISNUMBER(SEARCH("danois",B159)),ISNUMBER(SEARCH("norvégien",B159)),ISNUMBER(SEARCH("suédois",B159)),ISNUMBER(SEARCH("finlandais",B159)),ISNUMBER(SEARCH("polonais",B159)),ISNUMBER(SEARCH("tchèque",B159)),ISNUMBER(SEARCH("hongrois",B159)),ISNUMBER(SEARCH("grec",B159)),ISNUMBER(SEARCH("byzantin",B159)),ISNUMBER(SEARCH("croate",B159)),ISNUMBER(SEARCH("ukrainien",B159)),ISNUMBER(SEARCH("bulgare",B159)),ISNUMBER(SEARCH("biélorusse",B159)),ISNUMBER(SEARCH("maltais",B159))),"Autres pays d'Europe",IF(OR(ISNUMBER(SEARCH("américain",B159)),ISNUMBER(SEARCH("mexicain",B159)),ISNUMBER(SEARCH("canadien",B159)),ISNUMBER(SEARCH("brésilien",B159)),ISNUMBER(SEARCH("argentin",B159))),"Amérique",IF(OR(ISNUMBER(SEARCH("chinois",B159)),ISNUMBER(SEARCH("japonais",B159)),ISNUMBER(SEARCH("coréen",B159)),ISNUMBER(SEARCH("indien",B159)),ISNUMBER(SEARCH("persan",B159)),ISNUMBER(SEARCH("iranien",B159))),"Asie","(non classée)"))))</f>
        <v/>
      </c>
    </row>
    <row r="160">
      <c r="A160" s="2" t="inlineStr">
        <is>
          <t>CLAUDE MONET</t>
        </is>
      </c>
      <c r="B160" s="2" t="inlineStr">
        <is>
          <t>française</t>
        </is>
      </c>
      <c r="C160" s="2" t="inlineStr">
        <is>
          <t>peinture</t>
        </is>
      </c>
      <c r="D160" s="2" t="inlineStr">
        <is>
          <t>19e</t>
        </is>
      </c>
      <c r="U160">
        <f>IF(ISNUMBER(SEARCH("fran",B160)),"France",IF(OR(ISNUMBER(SEARCH("italien",B160)),ISNUMBER(SEARCH("espagn",B160)),ISNUMBER(SEARCH("catalan",B160)),ISNUMBER(SEARCH("flamand",B160)),ISNUMBER(SEARCH("belge",B160)),ISNUMBER(SEARCH("hollandais",B160)),ISNUMBER(SEARCH("néerlandais",B160)),ISNUMBER(SEARCH("allemand",B160)),ISNUMBER(SEARCH("autrichien",B160)),ISNUMBER(SEARCH("suisse",B160)),ISNUMBER(SEARCH("anglais",B160)),ISNUMBER(SEARCH("britannique",B160)),ISNUMBER(SEARCH("écossais",B160)),ISNUMBER(SEARCH("irlandais",B160)),ISNUMBER(SEARCH("russe",B160)),ISNUMBER(SEARCH("portugais",B160)),ISNUMBER(SEARCH("danois",B160)),ISNUMBER(SEARCH("norvégien",B160)),ISNUMBER(SEARCH("suédois",B160)),ISNUMBER(SEARCH("finlandais",B160)),ISNUMBER(SEARCH("polonais",B160)),ISNUMBER(SEARCH("tchèque",B160)),ISNUMBER(SEARCH("hongrois",B160)),ISNUMBER(SEARCH("grec",B160)),ISNUMBER(SEARCH("byzantin",B160)),ISNUMBER(SEARCH("croate",B160)),ISNUMBER(SEARCH("ukrainien",B160)),ISNUMBER(SEARCH("bulgare",B160)),ISNUMBER(SEARCH("biélorusse",B160)),ISNUMBER(SEARCH("maltais",B160))),"Autres pays d'Europe",IF(OR(ISNUMBER(SEARCH("américain",B160)),ISNUMBER(SEARCH("mexicain",B160)),ISNUMBER(SEARCH("canadien",B160)),ISNUMBER(SEARCH("brésilien",B160)),ISNUMBER(SEARCH("argentin",B160))),"Amérique",IF(OR(ISNUMBER(SEARCH("chinois",B160)),ISNUMBER(SEARCH("japonais",B160)),ISNUMBER(SEARCH("coréen",B160)),ISNUMBER(SEARCH("indien",B160)),ISNUMBER(SEARCH("persan",B160)),ISNUMBER(SEARCH("iranien",B160))),"Asie","(non classée)"))))</f>
        <v/>
      </c>
    </row>
    <row r="161">
      <c r="A161" s="2" t="inlineStr">
        <is>
          <t>CLAUS SLUTER</t>
        </is>
      </c>
      <c r="B161" s="2" t="inlineStr">
        <is>
          <t>hollandaise (Pays-Bas)</t>
        </is>
      </c>
      <c r="C161" s="2" t="inlineStr">
        <is>
          <t>sculpture</t>
        </is>
      </c>
      <c r="D161" s="2" t="inlineStr">
        <is>
          <t>15e</t>
        </is>
      </c>
      <c r="U161">
        <f>IF(ISNUMBER(SEARCH("fran",B161)),"France",IF(OR(ISNUMBER(SEARCH("italien",B161)),ISNUMBER(SEARCH("espagn",B161)),ISNUMBER(SEARCH("catalan",B161)),ISNUMBER(SEARCH("flamand",B161)),ISNUMBER(SEARCH("belge",B161)),ISNUMBER(SEARCH("hollandais",B161)),ISNUMBER(SEARCH("néerlandais",B161)),ISNUMBER(SEARCH("allemand",B161)),ISNUMBER(SEARCH("autrichien",B161)),ISNUMBER(SEARCH("suisse",B161)),ISNUMBER(SEARCH("anglais",B161)),ISNUMBER(SEARCH("britannique",B161)),ISNUMBER(SEARCH("écossais",B161)),ISNUMBER(SEARCH("irlandais",B161)),ISNUMBER(SEARCH("russe",B161)),ISNUMBER(SEARCH("portugais",B161)),ISNUMBER(SEARCH("danois",B161)),ISNUMBER(SEARCH("norvégien",B161)),ISNUMBER(SEARCH("suédois",B161)),ISNUMBER(SEARCH("finlandais",B161)),ISNUMBER(SEARCH("polonais",B161)),ISNUMBER(SEARCH("tchèque",B161)),ISNUMBER(SEARCH("hongrois",B161)),ISNUMBER(SEARCH("grec",B161)),ISNUMBER(SEARCH("byzantin",B161)),ISNUMBER(SEARCH("croate",B161)),ISNUMBER(SEARCH("ukrainien",B161)),ISNUMBER(SEARCH("bulgare",B161)),ISNUMBER(SEARCH("biélorusse",B161)),ISNUMBER(SEARCH("maltais",B161))),"Autres pays d'Europe",IF(OR(ISNUMBER(SEARCH("américain",B161)),ISNUMBER(SEARCH("mexicain",B161)),ISNUMBER(SEARCH("canadien",B161)),ISNUMBER(SEARCH("brésilien",B161)),ISNUMBER(SEARCH("argentin",B161))),"Amérique",IF(OR(ISNUMBER(SEARCH("chinois",B161)),ISNUMBER(SEARCH("japonais",B161)),ISNUMBER(SEARCH("coréen",B161)),ISNUMBER(SEARCH("indien",B161)),ISNUMBER(SEARCH("persan",B161)),ISNUMBER(SEARCH("iranien",B161))),"Asie","(non classée)"))))</f>
        <v/>
      </c>
    </row>
    <row r="162">
      <c r="A162" s="2" t="inlineStr">
        <is>
          <t>CLAUS SLUTER</t>
        </is>
      </c>
      <c r="B162" s="2" t="inlineStr">
        <is>
          <t>hollandaise (Pays-Bas)</t>
        </is>
      </c>
      <c r="C162" s="2" t="inlineStr">
        <is>
          <t>sculpture</t>
        </is>
      </c>
      <c r="D162" s="2" t="inlineStr">
        <is>
          <t>14e</t>
        </is>
      </c>
      <c r="U162">
        <f>IF(ISNUMBER(SEARCH("fran",B162)),"France",IF(OR(ISNUMBER(SEARCH("italien",B162)),ISNUMBER(SEARCH("espagn",B162)),ISNUMBER(SEARCH("catalan",B162)),ISNUMBER(SEARCH("flamand",B162)),ISNUMBER(SEARCH("belge",B162)),ISNUMBER(SEARCH("hollandais",B162)),ISNUMBER(SEARCH("néerlandais",B162)),ISNUMBER(SEARCH("allemand",B162)),ISNUMBER(SEARCH("autrichien",B162)),ISNUMBER(SEARCH("suisse",B162)),ISNUMBER(SEARCH("anglais",B162)),ISNUMBER(SEARCH("britannique",B162)),ISNUMBER(SEARCH("écossais",B162)),ISNUMBER(SEARCH("irlandais",B162)),ISNUMBER(SEARCH("russe",B162)),ISNUMBER(SEARCH("portugais",B162)),ISNUMBER(SEARCH("danois",B162)),ISNUMBER(SEARCH("norvégien",B162)),ISNUMBER(SEARCH("suédois",B162)),ISNUMBER(SEARCH("finlandais",B162)),ISNUMBER(SEARCH("polonais",B162)),ISNUMBER(SEARCH("tchèque",B162)),ISNUMBER(SEARCH("hongrois",B162)),ISNUMBER(SEARCH("grec",B162)),ISNUMBER(SEARCH("byzantin",B162)),ISNUMBER(SEARCH("croate",B162)),ISNUMBER(SEARCH("ukrainien",B162)),ISNUMBER(SEARCH("bulgare",B162)),ISNUMBER(SEARCH("biélorusse",B162)),ISNUMBER(SEARCH("maltais",B162))),"Autres pays d'Europe",IF(OR(ISNUMBER(SEARCH("américain",B162)),ISNUMBER(SEARCH("mexicain",B162)),ISNUMBER(SEARCH("canadien",B162)),ISNUMBER(SEARCH("brésilien",B162)),ISNUMBER(SEARCH("argentin",B162))),"Amérique",IF(OR(ISNUMBER(SEARCH("chinois",B162)),ISNUMBER(SEARCH("japonais",B162)),ISNUMBER(SEARCH("coréen",B162)),ISNUMBER(SEARCH("indien",B162)),ISNUMBER(SEARCH("persan",B162)),ISNUMBER(SEARCH("iranien",B162))),"Asie","(non classée)"))))</f>
        <v/>
      </c>
    </row>
    <row r="163">
      <c r="A163" s="2" t="inlineStr">
        <is>
          <t>CONRAD VON SOEST</t>
        </is>
      </c>
      <c r="B163" s="2" t="inlineStr">
        <is>
          <t>allemande</t>
        </is>
      </c>
      <c r="C163" s="2" t="inlineStr">
        <is>
          <t>peinture</t>
        </is>
      </c>
      <c r="D163" s="2" t="inlineStr">
        <is>
          <t>14e</t>
        </is>
      </c>
      <c r="U163">
        <f>IF(ISNUMBER(SEARCH("fran",B163)),"France",IF(OR(ISNUMBER(SEARCH("italien",B163)),ISNUMBER(SEARCH("espagn",B163)),ISNUMBER(SEARCH("catalan",B163)),ISNUMBER(SEARCH("flamand",B163)),ISNUMBER(SEARCH("belge",B163)),ISNUMBER(SEARCH("hollandais",B163)),ISNUMBER(SEARCH("néerlandais",B163)),ISNUMBER(SEARCH("allemand",B163)),ISNUMBER(SEARCH("autrichien",B163)),ISNUMBER(SEARCH("suisse",B163)),ISNUMBER(SEARCH("anglais",B163)),ISNUMBER(SEARCH("britannique",B163)),ISNUMBER(SEARCH("écossais",B163)),ISNUMBER(SEARCH("irlandais",B163)),ISNUMBER(SEARCH("russe",B163)),ISNUMBER(SEARCH("portugais",B163)),ISNUMBER(SEARCH("danois",B163)),ISNUMBER(SEARCH("norvégien",B163)),ISNUMBER(SEARCH("suédois",B163)),ISNUMBER(SEARCH("finlandais",B163)),ISNUMBER(SEARCH("polonais",B163)),ISNUMBER(SEARCH("tchèque",B163)),ISNUMBER(SEARCH("hongrois",B163)),ISNUMBER(SEARCH("grec",B163)),ISNUMBER(SEARCH("byzantin",B163)),ISNUMBER(SEARCH("croate",B163)),ISNUMBER(SEARCH("ukrainien",B163)),ISNUMBER(SEARCH("bulgare",B163)),ISNUMBER(SEARCH("biélorusse",B163)),ISNUMBER(SEARCH("maltais",B163))),"Autres pays d'Europe",IF(OR(ISNUMBER(SEARCH("américain",B163)),ISNUMBER(SEARCH("mexicain",B163)),ISNUMBER(SEARCH("canadien",B163)),ISNUMBER(SEARCH("brésilien",B163)),ISNUMBER(SEARCH("argentin",B163))),"Amérique",IF(OR(ISNUMBER(SEARCH("chinois",B163)),ISNUMBER(SEARCH("japonais",B163)),ISNUMBER(SEARCH("coréen",B163)),ISNUMBER(SEARCH("indien",B163)),ISNUMBER(SEARCH("persan",B163)),ISNUMBER(SEARCH("iranien",B163))),"Asie","(non classée)"))))</f>
        <v/>
      </c>
    </row>
    <row r="164">
      <c r="A164" s="2" t="inlineStr">
        <is>
          <t>CONRAT MEIT</t>
        </is>
      </c>
      <c r="B164" s="2" t="inlineStr">
        <is>
          <t>allemande</t>
        </is>
      </c>
      <c r="C164" s="2" t="inlineStr">
        <is>
          <t>sculpture</t>
        </is>
      </c>
      <c r="D164" s="2" t="inlineStr">
        <is>
          <t>16e</t>
        </is>
      </c>
      <c r="U164">
        <f>IF(ISNUMBER(SEARCH("fran",B164)),"France",IF(OR(ISNUMBER(SEARCH("italien",B164)),ISNUMBER(SEARCH("espagn",B164)),ISNUMBER(SEARCH("catalan",B164)),ISNUMBER(SEARCH("flamand",B164)),ISNUMBER(SEARCH("belge",B164)),ISNUMBER(SEARCH("hollandais",B164)),ISNUMBER(SEARCH("néerlandais",B164)),ISNUMBER(SEARCH("allemand",B164)),ISNUMBER(SEARCH("autrichien",B164)),ISNUMBER(SEARCH("suisse",B164)),ISNUMBER(SEARCH("anglais",B164)),ISNUMBER(SEARCH("britannique",B164)),ISNUMBER(SEARCH("écossais",B164)),ISNUMBER(SEARCH("irlandais",B164)),ISNUMBER(SEARCH("russe",B164)),ISNUMBER(SEARCH("portugais",B164)),ISNUMBER(SEARCH("danois",B164)),ISNUMBER(SEARCH("norvégien",B164)),ISNUMBER(SEARCH("suédois",B164)),ISNUMBER(SEARCH("finlandais",B164)),ISNUMBER(SEARCH("polonais",B164)),ISNUMBER(SEARCH("tchèque",B164)),ISNUMBER(SEARCH("hongrois",B164)),ISNUMBER(SEARCH("grec",B164)),ISNUMBER(SEARCH("byzantin",B164)),ISNUMBER(SEARCH("croate",B164)),ISNUMBER(SEARCH("ukrainien",B164)),ISNUMBER(SEARCH("bulgare",B164)),ISNUMBER(SEARCH("biélorusse",B164)),ISNUMBER(SEARCH("maltais",B164))),"Autres pays d'Europe",IF(OR(ISNUMBER(SEARCH("américain",B164)),ISNUMBER(SEARCH("mexicain",B164)),ISNUMBER(SEARCH("canadien",B164)),ISNUMBER(SEARCH("brésilien",B164)),ISNUMBER(SEARCH("argentin",B164))),"Amérique",IF(OR(ISNUMBER(SEARCH("chinois",B164)),ISNUMBER(SEARCH("japonais",B164)),ISNUMBER(SEARCH("coréen",B164)),ISNUMBER(SEARCH("indien",B164)),ISNUMBER(SEARCH("persan",B164)),ISNUMBER(SEARCH("iranien",B164))),"Asie","(non classée)"))))</f>
        <v/>
      </c>
    </row>
    <row r="165">
      <c r="A165" s="2" t="inlineStr">
        <is>
          <t>CONSTANTIN MEUNIER</t>
        </is>
      </c>
      <c r="B165" s="2" t="inlineStr">
        <is>
          <t>belge</t>
        </is>
      </c>
      <c r="C165" s="2" t="inlineStr">
        <is>
          <t>sculpture</t>
        </is>
      </c>
      <c r="D165" s="2" t="inlineStr">
        <is>
          <t>19e</t>
        </is>
      </c>
      <c r="U165">
        <f>IF(ISNUMBER(SEARCH("fran",B165)),"France",IF(OR(ISNUMBER(SEARCH("italien",B165)),ISNUMBER(SEARCH("espagn",B165)),ISNUMBER(SEARCH("catalan",B165)),ISNUMBER(SEARCH("flamand",B165)),ISNUMBER(SEARCH("belge",B165)),ISNUMBER(SEARCH("hollandais",B165)),ISNUMBER(SEARCH("néerlandais",B165)),ISNUMBER(SEARCH("allemand",B165)),ISNUMBER(SEARCH("autrichien",B165)),ISNUMBER(SEARCH("suisse",B165)),ISNUMBER(SEARCH("anglais",B165)),ISNUMBER(SEARCH("britannique",B165)),ISNUMBER(SEARCH("écossais",B165)),ISNUMBER(SEARCH("irlandais",B165)),ISNUMBER(SEARCH("russe",B165)),ISNUMBER(SEARCH("portugais",B165)),ISNUMBER(SEARCH("danois",B165)),ISNUMBER(SEARCH("norvégien",B165)),ISNUMBER(SEARCH("suédois",B165)),ISNUMBER(SEARCH("finlandais",B165)),ISNUMBER(SEARCH("polonais",B165)),ISNUMBER(SEARCH("tchèque",B165)),ISNUMBER(SEARCH("hongrois",B165)),ISNUMBER(SEARCH("grec",B165)),ISNUMBER(SEARCH("byzantin",B165)),ISNUMBER(SEARCH("croate",B165)),ISNUMBER(SEARCH("ukrainien",B165)),ISNUMBER(SEARCH("bulgare",B165)),ISNUMBER(SEARCH("biélorusse",B165)),ISNUMBER(SEARCH("maltais",B165))),"Autres pays d'Europe",IF(OR(ISNUMBER(SEARCH("américain",B165)),ISNUMBER(SEARCH("mexicain",B165)),ISNUMBER(SEARCH("canadien",B165)),ISNUMBER(SEARCH("brésilien",B165)),ISNUMBER(SEARCH("argentin",B165))),"Amérique",IF(OR(ISNUMBER(SEARCH("chinois",B165)),ISNUMBER(SEARCH("japonais",B165)),ISNUMBER(SEARCH("coréen",B165)),ISNUMBER(SEARCH("indien",B165)),ISNUMBER(SEARCH("persan",B165)),ISNUMBER(SEARCH("iranien",B165))),"Asie","(non classée)"))))</f>
        <v/>
      </c>
    </row>
    <row r="166">
      <c r="A166" s="2" t="inlineStr">
        <is>
          <t>CORNELIS FLORIS</t>
        </is>
      </c>
      <c r="B166" s="2" t="inlineStr">
        <is>
          <t>flamande (Belgique)</t>
        </is>
      </c>
      <c r="C166" s="2" t="inlineStr">
        <is>
          <t>sculpture</t>
        </is>
      </c>
      <c r="D166" s="2" t="inlineStr">
        <is>
          <t>16e</t>
        </is>
      </c>
      <c r="U166">
        <f>IF(ISNUMBER(SEARCH("fran",B166)),"France",IF(OR(ISNUMBER(SEARCH("italien",B166)),ISNUMBER(SEARCH("espagn",B166)),ISNUMBER(SEARCH("catalan",B166)),ISNUMBER(SEARCH("flamand",B166)),ISNUMBER(SEARCH("belge",B166)),ISNUMBER(SEARCH("hollandais",B166)),ISNUMBER(SEARCH("néerlandais",B166)),ISNUMBER(SEARCH("allemand",B166)),ISNUMBER(SEARCH("autrichien",B166)),ISNUMBER(SEARCH("suisse",B166)),ISNUMBER(SEARCH("anglais",B166)),ISNUMBER(SEARCH("britannique",B166)),ISNUMBER(SEARCH("écossais",B166)),ISNUMBER(SEARCH("irlandais",B166)),ISNUMBER(SEARCH("russe",B166)),ISNUMBER(SEARCH("portugais",B166)),ISNUMBER(SEARCH("danois",B166)),ISNUMBER(SEARCH("norvégien",B166)),ISNUMBER(SEARCH("suédois",B166)),ISNUMBER(SEARCH("finlandais",B166)),ISNUMBER(SEARCH("polonais",B166)),ISNUMBER(SEARCH("tchèque",B166)),ISNUMBER(SEARCH("hongrois",B166)),ISNUMBER(SEARCH("grec",B166)),ISNUMBER(SEARCH("byzantin",B166)),ISNUMBER(SEARCH("croate",B166)),ISNUMBER(SEARCH("ukrainien",B166)),ISNUMBER(SEARCH("bulgare",B166)),ISNUMBER(SEARCH("biélorusse",B166)),ISNUMBER(SEARCH("maltais",B166))),"Autres pays d'Europe",IF(OR(ISNUMBER(SEARCH("américain",B166)),ISNUMBER(SEARCH("mexicain",B166)),ISNUMBER(SEARCH("canadien",B166)),ISNUMBER(SEARCH("brésilien",B166)),ISNUMBER(SEARCH("argentin",B166))),"Amérique",IF(OR(ISNUMBER(SEARCH("chinois",B166)),ISNUMBER(SEARCH("japonais",B166)),ISNUMBER(SEARCH("coréen",B166)),ISNUMBER(SEARCH("indien",B166)),ISNUMBER(SEARCH("persan",B166)),ISNUMBER(SEARCH("iranien",B166))),"Asie","(non classée)"))))</f>
        <v/>
      </c>
    </row>
    <row r="167">
      <c r="A167" s="2" t="inlineStr">
        <is>
          <t>COSIMO FANZAGO</t>
        </is>
      </c>
      <c r="B167" s="2" t="inlineStr">
        <is>
          <t>italienne</t>
        </is>
      </c>
      <c r="C167" s="2" t="inlineStr">
        <is>
          <t>sculpture</t>
        </is>
      </c>
      <c r="D167" s="2" t="inlineStr">
        <is>
          <t>17e</t>
        </is>
      </c>
      <c r="U167">
        <f>IF(ISNUMBER(SEARCH("fran",B167)),"France",IF(OR(ISNUMBER(SEARCH("italien",B167)),ISNUMBER(SEARCH("espagn",B167)),ISNUMBER(SEARCH("catalan",B167)),ISNUMBER(SEARCH("flamand",B167)),ISNUMBER(SEARCH("belge",B167)),ISNUMBER(SEARCH("hollandais",B167)),ISNUMBER(SEARCH("néerlandais",B167)),ISNUMBER(SEARCH("allemand",B167)),ISNUMBER(SEARCH("autrichien",B167)),ISNUMBER(SEARCH("suisse",B167)),ISNUMBER(SEARCH("anglais",B167)),ISNUMBER(SEARCH("britannique",B167)),ISNUMBER(SEARCH("écossais",B167)),ISNUMBER(SEARCH("irlandais",B167)),ISNUMBER(SEARCH("russe",B167)),ISNUMBER(SEARCH("portugais",B167)),ISNUMBER(SEARCH("danois",B167)),ISNUMBER(SEARCH("norvégien",B167)),ISNUMBER(SEARCH("suédois",B167)),ISNUMBER(SEARCH("finlandais",B167)),ISNUMBER(SEARCH("polonais",B167)),ISNUMBER(SEARCH("tchèque",B167)),ISNUMBER(SEARCH("hongrois",B167)),ISNUMBER(SEARCH("grec",B167)),ISNUMBER(SEARCH("byzantin",B167)),ISNUMBER(SEARCH("croate",B167)),ISNUMBER(SEARCH("ukrainien",B167)),ISNUMBER(SEARCH("bulgare",B167)),ISNUMBER(SEARCH("biélorusse",B167)),ISNUMBER(SEARCH("maltais",B167))),"Autres pays d'Europe",IF(OR(ISNUMBER(SEARCH("américain",B167)),ISNUMBER(SEARCH("mexicain",B167)),ISNUMBER(SEARCH("canadien",B167)),ISNUMBER(SEARCH("brésilien",B167)),ISNUMBER(SEARCH("argentin",B167))),"Amérique",IF(OR(ISNUMBER(SEARCH("chinois",B167)),ISNUMBER(SEARCH("japonais",B167)),ISNUMBER(SEARCH("coréen",B167)),ISNUMBER(SEARCH("indien",B167)),ISNUMBER(SEARCH("persan",B167)),ISNUMBER(SEARCH("iranien",B167))),"Asie","(non classée)"))))</f>
        <v/>
      </c>
    </row>
    <row r="168">
      <c r="A168" s="2" t="inlineStr">
        <is>
          <t>COSIMO ROSSELLI</t>
        </is>
      </c>
      <c r="B168" s="2" t="inlineStr">
        <is>
          <t>italienne</t>
        </is>
      </c>
      <c r="C168" s="2" t="inlineStr">
        <is>
          <t>peinture</t>
        </is>
      </c>
      <c r="D168" s="2" t="inlineStr">
        <is>
          <t>15e</t>
        </is>
      </c>
      <c r="U168">
        <f>IF(ISNUMBER(SEARCH("fran",B168)),"France",IF(OR(ISNUMBER(SEARCH("italien",B168)),ISNUMBER(SEARCH("espagn",B168)),ISNUMBER(SEARCH("catalan",B168)),ISNUMBER(SEARCH("flamand",B168)),ISNUMBER(SEARCH("belge",B168)),ISNUMBER(SEARCH("hollandais",B168)),ISNUMBER(SEARCH("néerlandais",B168)),ISNUMBER(SEARCH("allemand",B168)),ISNUMBER(SEARCH("autrichien",B168)),ISNUMBER(SEARCH("suisse",B168)),ISNUMBER(SEARCH("anglais",B168)),ISNUMBER(SEARCH("britannique",B168)),ISNUMBER(SEARCH("écossais",B168)),ISNUMBER(SEARCH("irlandais",B168)),ISNUMBER(SEARCH("russe",B168)),ISNUMBER(SEARCH("portugais",B168)),ISNUMBER(SEARCH("danois",B168)),ISNUMBER(SEARCH("norvégien",B168)),ISNUMBER(SEARCH("suédois",B168)),ISNUMBER(SEARCH("finlandais",B168)),ISNUMBER(SEARCH("polonais",B168)),ISNUMBER(SEARCH("tchèque",B168)),ISNUMBER(SEARCH("hongrois",B168)),ISNUMBER(SEARCH("grec",B168)),ISNUMBER(SEARCH("byzantin",B168)),ISNUMBER(SEARCH("croate",B168)),ISNUMBER(SEARCH("ukrainien",B168)),ISNUMBER(SEARCH("bulgare",B168)),ISNUMBER(SEARCH("biélorusse",B168)),ISNUMBER(SEARCH("maltais",B168))),"Autres pays d'Europe",IF(OR(ISNUMBER(SEARCH("américain",B168)),ISNUMBER(SEARCH("mexicain",B168)),ISNUMBER(SEARCH("canadien",B168)),ISNUMBER(SEARCH("brésilien",B168)),ISNUMBER(SEARCH("argentin",B168))),"Amérique",IF(OR(ISNUMBER(SEARCH("chinois",B168)),ISNUMBER(SEARCH("japonais",B168)),ISNUMBER(SEARCH("coréen",B168)),ISNUMBER(SEARCH("indien",B168)),ISNUMBER(SEARCH("persan",B168)),ISNUMBER(SEARCH("iranien",B168))),"Asie","(non classée)"))))</f>
        <v/>
      </c>
    </row>
    <row r="169">
      <c r="A169" s="2" t="inlineStr">
        <is>
          <t>COSMÈ TURA</t>
        </is>
      </c>
      <c r="B169" s="2" t="inlineStr">
        <is>
          <t>italienne</t>
        </is>
      </c>
      <c r="C169" s="2" t="inlineStr">
        <is>
          <t>peinture</t>
        </is>
      </c>
      <c r="D169" s="2" t="inlineStr">
        <is>
          <t>15e</t>
        </is>
      </c>
      <c r="U169">
        <f>IF(ISNUMBER(SEARCH("fran",B169)),"France",IF(OR(ISNUMBER(SEARCH("italien",B169)),ISNUMBER(SEARCH("espagn",B169)),ISNUMBER(SEARCH("catalan",B169)),ISNUMBER(SEARCH("flamand",B169)),ISNUMBER(SEARCH("belge",B169)),ISNUMBER(SEARCH("hollandais",B169)),ISNUMBER(SEARCH("néerlandais",B169)),ISNUMBER(SEARCH("allemand",B169)),ISNUMBER(SEARCH("autrichien",B169)),ISNUMBER(SEARCH("suisse",B169)),ISNUMBER(SEARCH("anglais",B169)),ISNUMBER(SEARCH("britannique",B169)),ISNUMBER(SEARCH("écossais",B169)),ISNUMBER(SEARCH("irlandais",B169)),ISNUMBER(SEARCH("russe",B169)),ISNUMBER(SEARCH("portugais",B169)),ISNUMBER(SEARCH("danois",B169)),ISNUMBER(SEARCH("norvégien",B169)),ISNUMBER(SEARCH("suédois",B169)),ISNUMBER(SEARCH("finlandais",B169)),ISNUMBER(SEARCH("polonais",B169)),ISNUMBER(SEARCH("tchèque",B169)),ISNUMBER(SEARCH("hongrois",B169)),ISNUMBER(SEARCH("grec",B169)),ISNUMBER(SEARCH("byzantin",B169)),ISNUMBER(SEARCH("croate",B169)),ISNUMBER(SEARCH("ukrainien",B169)),ISNUMBER(SEARCH("bulgare",B169)),ISNUMBER(SEARCH("biélorusse",B169)),ISNUMBER(SEARCH("maltais",B169))),"Autres pays d'Europe",IF(OR(ISNUMBER(SEARCH("américain",B169)),ISNUMBER(SEARCH("mexicain",B169)),ISNUMBER(SEARCH("canadien",B169)),ISNUMBER(SEARCH("brésilien",B169)),ISNUMBER(SEARCH("argentin",B169))),"Amérique",IF(OR(ISNUMBER(SEARCH("chinois",B169)),ISNUMBER(SEARCH("japonais",B169)),ISNUMBER(SEARCH("coréen",B169)),ISNUMBER(SEARCH("indien",B169)),ISNUMBER(SEARCH("persan",B169)),ISNUMBER(SEARCH("iranien",B169))),"Asie","(non classée)"))))</f>
        <v/>
      </c>
    </row>
    <row r="170">
      <c r="A170" s="2" t="inlineStr">
        <is>
          <t>CYPRIAN GODEBSKI</t>
        </is>
      </c>
      <c r="B170" s="2" t="inlineStr">
        <is>
          <t>polonaise</t>
        </is>
      </c>
      <c r="C170" s="2" t="inlineStr">
        <is>
          <t>sculpture</t>
        </is>
      </c>
      <c r="D170" s="2" t="inlineStr">
        <is>
          <t>19e</t>
        </is>
      </c>
      <c r="U170">
        <f>IF(ISNUMBER(SEARCH("fran",B170)),"France",IF(OR(ISNUMBER(SEARCH("italien",B170)),ISNUMBER(SEARCH("espagn",B170)),ISNUMBER(SEARCH("catalan",B170)),ISNUMBER(SEARCH("flamand",B170)),ISNUMBER(SEARCH("belge",B170)),ISNUMBER(SEARCH("hollandais",B170)),ISNUMBER(SEARCH("néerlandais",B170)),ISNUMBER(SEARCH("allemand",B170)),ISNUMBER(SEARCH("autrichien",B170)),ISNUMBER(SEARCH("suisse",B170)),ISNUMBER(SEARCH("anglais",B170)),ISNUMBER(SEARCH("britannique",B170)),ISNUMBER(SEARCH("écossais",B170)),ISNUMBER(SEARCH("irlandais",B170)),ISNUMBER(SEARCH("russe",B170)),ISNUMBER(SEARCH("portugais",B170)),ISNUMBER(SEARCH("danois",B170)),ISNUMBER(SEARCH("norvégien",B170)),ISNUMBER(SEARCH("suédois",B170)),ISNUMBER(SEARCH("finlandais",B170)),ISNUMBER(SEARCH("polonais",B170)),ISNUMBER(SEARCH("tchèque",B170)),ISNUMBER(SEARCH("hongrois",B170)),ISNUMBER(SEARCH("grec",B170)),ISNUMBER(SEARCH("byzantin",B170)),ISNUMBER(SEARCH("croate",B170)),ISNUMBER(SEARCH("ukrainien",B170)),ISNUMBER(SEARCH("bulgare",B170)),ISNUMBER(SEARCH("biélorusse",B170)),ISNUMBER(SEARCH("maltais",B170))),"Autres pays d'Europe",IF(OR(ISNUMBER(SEARCH("américain",B170)),ISNUMBER(SEARCH("mexicain",B170)),ISNUMBER(SEARCH("canadien",B170)),ISNUMBER(SEARCH("brésilien",B170)),ISNUMBER(SEARCH("argentin",B170))),"Amérique",IF(OR(ISNUMBER(SEARCH("chinois",B170)),ISNUMBER(SEARCH("japonais",B170)),ISNUMBER(SEARCH("coréen",B170)),ISNUMBER(SEARCH("indien",B170)),ISNUMBER(SEARCH("persan",B170)),ISNUMBER(SEARCH("iranien",B170))),"Asie","(non classée)"))))</f>
        <v/>
      </c>
    </row>
    <row r="171">
      <c r="A171" s="2" t="inlineStr">
        <is>
          <t>CYRUS DALLIN</t>
        </is>
      </c>
      <c r="B171" s="2" t="inlineStr">
        <is>
          <t>américaine</t>
        </is>
      </c>
      <c r="C171" s="2" t="inlineStr">
        <is>
          <t>sculpture</t>
        </is>
      </c>
      <c r="D171" s="2" t="inlineStr">
        <is>
          <t>20e</t>
        </is>
      </c>
      <c r="U171">
        <f>IF(ISNUMBER(SEARCH("fran",B171)),"France",IF(OR(ISNUMBER(SEARCH("italien",B171)),ISNUMBER(SEARCH("espagn",B171)),ISNUMBER(SEARCH("catalan",B171)),ISNUMBER(SEARCH("flamand",B171)),ISNUMBER(SEARCH("belge",B171)),ISNUMBER(SEARCH("hollandais",B171)),ISNUMBER(SEARCH("néerlandais",B171)),ISNUMBER(SEARCH("allemand",B171)),ISNUMBER(SEARCH("autrichien",B171)),ISNUMBER(SEARCH("suisse",B171)),ISNUMBER(SEARCH("anglais",B171)),ISNUMBER(SEARCH("britannique",B171)),ISNUMBER(SEARCH("écossais",B171)),ISNUMBER(SEARCH("irlandais",B171)),ISNUMBER(SEARCH("russe",B171)),ISNUMBER(SEARCH("portugais",B171)),ISNUMBER(SEARCH("danois",B171)),ISNUMBER(SEARCH("norvégien",B171)),ISNUMBER(SEARCH("suédois",B171)),ISNUMBER(SEARCH("finlandais",B171)),ISNUMBER(SEARCH("polonais",B171)),ISNUMBER(SEARCH("tchèque",B171)),ISNUMBER(SEARCH("hongrois",B171)),ISNUMBER(SEARCH("grec",B171)),ISNUMBER(SEARCH("byzantin",B171)),ISNUMBER(SEARCH("croate",B171)),ISNUMBER(SEARCH("ukrainien",B171)),ISNUMBER(SEARCH("bulgare",B171)),ISNUMBER(SEARCH("biélorusse",B171)),ISNUMBER(SEARCH("maltais",B171))),"Autres pays d'Europe",IF(OR(ISNUMBER(SEARCH("américain",B171)),ISNUMBER(SEARCH("mexicain",B171)),ISNUMBER(SEARCH("canadien",B171)),ISNUMBER(SEARCH("brésilien",B171)),ISNUMBER(SEARCH("argentin",B171))),"Amérique",IF(OR(ISNUMBER(SEARCH("chinois",B171)),ISNUMBER(SEARCH("japonais",B171)),ISNUMBER(SEARCH("coréen",B171)),ISNUMBER(SEARCH("indien",B171)),ISNUMBER(SEARCH("persan",B171)),ISNUMBER(SEARCH("iranien",B171))),"Asie","(non classée)"))))</f>
        <v/>
      </c>
    </row>
    <row r="172">
      <c r="A172" s="2" t="inlineStr">
        <is>
          <t>DONATELLO</t>
        </is>
      </c>
      <c r="B172" s="2" t="inlineStr">
        <is>
          <t>italienne</t>
        </is>
      </c>
      <c r="C172" s="2" t="inlineStr">
        <is>
          <t>sculpture</t>
        </is>
      </c>
      <c r="D172" s="2" t="inlineStr">
        <is>
          <t>15e</t>
        </is>
      </c>
      <c r="U172">
        <f>IF(ISNUMBER(SEARCH("fran",B172)),"France",IF(OR(ISNUMBER(SEARCH("italien",B172)),ISNUMBER(SEARCH("espagn",B172)),ISNUMBER(SEARCH("catalan",B172)),ISNUMBER(SEARCH("flamand",B172)),ISNUMBER(SEARCH("belge",B172)),ISNUMBER(SEARCH("hollandais",B172)),ISNUMBER(SEARCH("néerlandais",B172)),ISNUMBER(SEARCH("allemand",B172)),ISNUMBER(SEARCH("autrichien",B172)),ISNUMBER(SEARCH("suisse",B172)),ISNUMBER(SEARCH("anglais",B172)),ISNUMBER(SEARCH("britannique",B172)),ISNUMBER(SEARCH("écossais",B172)),ISNUMBER(SEARCH("irlandais",B172)),ISNUMBER(SEARCH("russe",B172)),ISNUMBER(SEARCH("portugais",B172)),ISNUMBER(SEARCH("danois",B172)),ISNUMBER(SEARCH("norvégien",B172)),ISNUMBER(SEARCH("suédois",B172)),ISNUMBER(SEARCH("finlandais",B172)),ISNUMBER(SEARCH("polonais",B172)),ISNUMBER(SEARCH("tchèque",B172)),ISNUMBER(SEARCH("hongrois",B172)),ISNUMBER(SEARCH("grec",B172)),ISNUMBER(SEARCH("byzantin",B172)),ISNUMBER(SEARCH("croate",B172)),ISNUMBER(SEARCH("ukrainien",B172)),ISNUMBER(SEARCH("bulgare",B172)),ISNUMBER(SEARCH("biélorusse",B172)),ISNUMBER(SEARCH("maltais",B172))),"Autres pays d'Europe",IF(OR(ISNUMBER(SEARCH("américain",B172)),ISNUMBER(SEARCH("mexicain",B172)),ISNUMBER(SEARCH("canadien",B172)),ISNUMBER(SEARCH("brésilien",B172)),ISNUMBER(SEARCH("argentin",B172))),"Amérique",IF(OR(ISNUMBER(SEARCH("chinois",B172)),ISNUMBER(SEARCH("japonais",B172)),ISNUMBER(SEARCH("coréen",B172)),ISNUMBER(SEARCH("indien",B172)),ISNUMBER(SEARCH("persan",B172)),ISNUMBER(SEARCH("iranien",B172))),"Asie","(non classée)"))))</f>
        <v/>
      </c>
    </row>
    <row r="173">
      <c r="A173" s="2" t="inlineStr">
        <is>
          <t>DOSSO DOSSI</t>
        </is>
      </c>
      <c r="B173" s="2" t="inlineStr">
        <is>
          <t>italienne</t>
        </is>
      </c>
      <c r="C173" s="2" t="inlineStr">
        <is>
          <t>peinture</t>
        </is>
      </c>
      <c r="D173" s="2" t="inlineStr">
        <is>
          <t>16e</t>
        </is>
      </c>
      <c r="U173">
        <f>IF(ISNUMBER(SEARCH("fran",B173)),"France",IF(OR(ISNUMBER(SEARCH("italien",B173)),ISNUMBER(SEARCH("espagn",B173)),ISNUMBER(SEARCH("catalan",B173)),ISNUMBER(SEARCH("flamand",B173)),ISNUMBER(SEARCH("belge",B173)),ISNUMBER(SEARCH("hollandais",B173)),ISNUMBER(SEARCH("néerlandais",B173)),ISNUMBER(SEARCH("allemand",B173)),ISNUMBER(SEARCH("autrichien",B173)),ISNUMBER(SEARCH("suisse",B173)),ISNUMBER(SEARCH("anglais",B173)),ISNUMBER(SEARCH("britannique",B173)),ISNUMBER(SEARCH("écossais",B173)),ISNUMBER(SEARCH("irlandais",B173)),ISNUMBER(SEARCH("russe",B173)),ISNUMBER(SEARCH("portugais",B173)),ISNUMBER(SEARCH("danois",B173)),ISNUMBER(SEARCH("norvégien",B173)),ISNUMBER(SEARCH("suédois",B173)),ISNUMBER(SEARCH("finlandais",B173)),ISNUMBER(SEARCH("polonais",B173)),ISNUMBER(SEARCH("tchèque",B173)),ISNUMBER(SEARCH("hongrois",B173)),ISNUMBER(SEARCH("grec",B173)),ISNUMBER(SEARCH("byzantin",B173)),ISNUMBER(SEARCH("croate",B173)),ISNUMBER(SEARCH("ukrainien",B173)),ISNUMBER(SEARCH("bulgare",B173)),ISNUMBER(SEARCH("biélorusse",B173)),ISNUMBER(SEARCH("maltais",B173))),"Autres pays d'Europe",IF(OR(ISNUMBER(SEARCH("américain",B173)),ISNUMBER(SEARCH("mexicain",B173)),ISNUMBER(SEARCH("canadien",B173)),ISNUMBER(SEARCH("brésilien",B173)),ISNUMBER(SEARCH("argentin",B173))),"Amérique",IF(OR(ISNUMBER(SEARCH("chinois",B173)),ISNUMBER(SEARCH("japonais",B173)),ISNUMBER(SEARCH("coréen",B173)),ISNUMBER(SEARCH("indien",B173)),ISNUMBER(SEARCH("persan",B173)),ISNUMBER(SEARCH("iranien",B173))),"Asie","(non classée)"))))</f>
        <v/>
      </c>
    </row>
    <row r="174">
      <c r="A174" s="2" t="inlineStr">
        <is>
          <t>DAMIÁN FORMENT</t>
        </is>
      </c>
      <c r="B174" s="2" t="inlineStr">
        <is>
          <t>espagnole</t>
        </is>
      </c>
      <c r="C174" s="2" t="inlineStr">
        <is>
          <t>sculpture</t>
        </is>
      </c>
      <c r="D174" s="2" t="inlineStr">
        <is>
          <t>16e</t>
        </is>
      </c>
      <c r="U174">
        <f>IF(ISNUMBER(SEARCH("fran",B174)),"France",IF(OR(ISNUMBER(SEARCH("italien",B174)),ISNUMBER(SEARCH("espagn",B174)),ISNUMBER(SEARCH("catalan",B174)),ISNUMBER(SEARCH("flamand",B174)),ISNUMBER(SEARCH("belge",B174)),ISNUMBER(SEARCH("hollandais",B174)),ISNUMBER(SEARCH("néerlandais",B174)),ISNUMBER(SEARCH("allemand",B174)),ISNUMBER(SEARCH("autrichien",B174)),ISNUMBER(SEARCH("suisse",B174)),ISNUMBER(SEARCH("anglais",B174)),ISNUMBER(SEARCH("britannique",B174)),ISNUMBER(SEARCH("écossais",B174)),ISNUMBER(SEARCH("irlandais",B174)),ISNUMBER(SEARCH("russe",B174)),ISNUMBER(SEARCH("portugais",B174)),ISNUMBER(SEARCH("danois",B174)),ISNUMBER(SEARCH("norvégien",B174)),ISNUMBER(SEARCH("suédois",B174)),ISNUMBER(SEARCH("finlandais",B174)),ISNUMBER(SEARCH("polonais",B174)),ISNUMBER(SEARCH("tchèque",B174)),ISNUMBER(SEARCH("hongrois",B174)),ISNUMBER(SEARCH("grec",B174)),ISNUMBER(SEARCH("byzantin",B174)),ISNUMBER(SEARCH("croate",B174)),ISNUMBER(SEARCH("ukrainien",B174)),ISNUMBER(SEARCH("bulgare",B174)),ISNUMBER(SEARCH("biélorusse",B174)),ISNUMBER(SEARCH("maltais",B174))),"Autres pays d'Europe",IF(OR(ISNUMBER(SEARCH("américain",B174)),ISNUMBER(SEARCH("mexicain",B174)),ISNUMBER(SEARCH("canadien",B174)),ISNUMBER(SEARCH("brésilien",B174)),ISNUMBER(SEARCH("argentin",B174))),"Amérique",IF(OR(ISNUMBER(SEARCH("chinois",B174)),ISNUMBER(SEARCH("japonais",B174)),ISNUMBER(SEARCH("coréen",B174)),ISNUMBER(SEARCH("indien",B174)),ISNUMBER(SEARCH("persan",B174)),ISNUMBER(SEARCH("iranien",B174))),"Asie","(non classée)"))))</f>
        <v/>
      </c>
    </row>
    <row r="175">
      <c r="A175" s="2" t="inlineStr">
        <is>
          <t>DANESE CATTANEO</t>
        </is>
      </c>
      <c r="B175" s="2" t="inlineStr">
        <is>
          <t>italienne</t>
        </is>
      </c>
      <c r="C175" s="2" t="inlineStr">
        <is>
          <t>sculpture</t>
        </is>
      </c>
      <c r="D175" s="2" t="inlineStr">
        <is>
          <t>16e</t>
        </is>
      </c>
      <c r="U175">
        <f>IF(ISNUMBER(SEARCH("fran",B175)),"France",IF(OR(ISNUMBER(SEARCH("italien",B175)),ISNUMBER(SEARCH("espagn",B175)),ISNUMBER(SEARCH("catalan",B175)),ISNUMBER(SEARCH("flamand",B175)),ISNUMBER(SEARCH("belge",B175)),ISNUMBER(SEARCH("hollandais",B175)),ISNUMBER(SEARCH("néerlandais",B175)),ISNUMBER(SEARCH("allemand",B175)),ISNUMBER(SEARCH("autrichien",B175)),ISNUMBER(SEARCH("suisse",B175)),ISNUMBER(SEARCH("anglais",B175)),ISNUMBER(SEARCH("britannique",B175)),ISNUMBER(SEARCH("écossais",B175)),ISNUMBER(SEARCH("irlandais",B175)),ISNUMBER(SEARCH("russe",B175)),ISNUMBER(SEARCH("portugais",B175)),ISNUMBER(SEARCH("danois",B175)),ISNUMBER(SEARCH("norvégien",B175)),ISNUMBER(SEARCH("suédois",B175)),ISNUMBER(SEARCH("finlandais",B175)),ISNUMBER(SEARCH("polonais",B175)),ISNUMBER(SEARCH("tchèque",B175)),ISNUMBER(SEARCH("hongrois",B175)),ISNUMBER(SEARCH("grec",B175)),ISNUMBER(SEARCH("byzantin",B175)),ISNUMBER(SEARCH("croate",B175)),ISNUMBER(SEARCH("ukrainien",B175)),ISNUMBER(SEARCH("bulgare",B175)),ISNUMBER(SEARCH("biélorusse",B175)),ISNUMBER(SEARCH("maltais",B175))),"Autres pays d'Europe",IF(OR(ISNUMBER(SEARCH("américain",B175)),ISNUMBER(SEARCH("mexicain",B175)),ISNUMBER(SEARCH("canadien",B175)),ISNUMBER(SEARCH("brésilien",B175)),ISNUMBER(SEARCH("argentin",B175))),"Amérique",IF(OR(ISNUMBER(SEARCH("chinois",B175)),ISNUMBER(SEARCH("japonais",B175)),ISNUMBER(SEARCH("coréen",B175)),ISNUMBER(SEARCH("indien",B175)),ISNUMBER(SEARCH("persan",B175)),ISNUMBER(SEARCH("iranien",B175))),"Asie","(non classée)"))))</f>
        <v/>
      </c>
    </row>
    <row r="176">
      <c r="A176" s="2" t="inlineStr">
        <is>
          <t>DANIEL CHESTER FRENCH</t>
        </is>
      </c>
      <c r="B176" s="2" t="inlineStr">
        <is>
          <t>américaine</t>
        </is>
      </c>
      <c r="C176" s="2" t="inlineStr">
        <is>
          <t>sculpture</t>
        </is>
      </c>
      <c r="D176" s="2" t="inlineStr">
        <is>
          <t>20e</t>
        </is>
      </c>
      <c r="U176">
        <f>IF(ISNUMBER(SEARCH("fran",B176)),"France",IF(OR(ISNUMBER(SEARCH("italien",B176)),ISNUMBER(SEARCH("espagn",B176)),ISNUMBER(SEARCH("catalan",B176)),ISNUMBER(SEARCH("flamand",B176)),ISNUMBER(SEARCH("belge",B176)),ISNUMBER(SEARCH("hollandais",B176)),ISNUMBER(SEARCH("néerlandais",B176)),ISNUMBER(SEARCH("allemand",B176)),ISNUMBER(SEARCH("autrichien",B176)),ISNUMBER(SEARCH("suisse",B176)),ISNUMBER(SEARCH("anglais",B176)),ISNUMBER(SEARCH("britannique",B176)),ISNUMBER(SEARCH("écossais",B176)),ISNUMBER(SEARCH("irlandais",B176)),ISNUMBER(SEARCH("russe",B176)),ISNUMBER(SEARCH("portugais",B176)),ISNUMBER(SEARCH("danois",B176)),ISNUMBER(SEARCH("norvégien",B176)),ISNUMBER(SEARCH("suédois",B176)),ISNUMBER(SEARCH("finlandais",B176)),ISNUMBER(SEARCH("polonais",B176)),ISNUMBER(SEARCH("tchèque",B176)),ISNUMBER(SEARCH("hongrois",B176)),ISNUMBER(SEARCH("grec",B176)),ISNUMBER(SEARCH("byzantin",B176)),ISNUMBER(SEARCH("croate",B176)),ISNUMBER(SEARCH("ukrainien",B176)),ISNUMBER(SEARCH("bulgare",B176)),ISNUMBER(SEARCH("biélorusse",B176)),ISNUMBER(SEARCH("maltais",B176))),"Autres pays d'Europe",IF(OR(ISNUMBER(SEARCH("américain",B176)),ISNUMBER(SEARCH("mexicain",B176)),ISNUMBER(SEARCH("canadien",B176)),ISNUMBER(SEARCH("brésilien",B176)),ISNUMBER(SEARCH("argentin",B176))),"Amérique",IF(OR(ISNUMBER(SEARCH("chinois",B176)),ISNUMBER(SEARCH("japonais",B176)),ISNUMBER(SEARCH("coréen",B176)),ISNUMBER(SEARCH("indien",B176)),ISNUMBER(SEARCH("persan",B176)),ISNUMBER(SEARCH("iranien",B176))),"Asie","(non classée)"))))</f>
        <v/>
      </c>
    </row>
    <row r="177">
      <c r="A177" s="2" t="inlineStr">
        <is>
          <t>DANIELE DA VOLTERRA</t>
        </is>
      </c>
      <c r="B177" s="2" t="inlineStr">
        <is>
          <t>italienne</t>
        </is>
      </c>
      <c r="C177" s="2" t="inlineStr">
        <is>
          <t>peinture</t>
        </is>
      </c>
      <c r="D177" s="2" t="inlineStr">
        <is>
          <t>16e</t>
        </is>
      </c>
      <c r="U177">
        <f>IF(ISNUMBER(SEARCH("fran",B177)),"France",IF(OR(ISNUMBER(SEARCH("italien",B177)),ISNUMBER(SEARCH("espagn",B177)),ISNUMBER(SEARCH("catalan",B177)),ISNUMBER(SEARCH("flamand",B177)),ISNUMBER(SEARCH("belge",B177)),ISNUMBER(SEARCH("hollandais",B177)),ISNUMBER(SEARCH("néerlandais",B177)),ISNUMBER(SEARCH("allemand",B177)),ISNUMBER(SEARCH("autrichien",B177)),ISNUMBER(SEARCH("suisse",B177)),ISNUMBER(SEARCH("anglais",B177)),ISNUMBER(SEARCH("britannique",B177)),ISNUMBER(SEARCH("écossais",B177)),ISNUMBER(SEARCH("irlandais",B177)),ISNUMBER(SEARCH("russe",B177)),ISNUMBER(SEARCH("portugais",B177)),ISNUMBER(SEARCH("danois",B177)),ISNUMBER(SEARCH("norvégien",B177)),ISNUMBER(SEARCH("suédois",B177)),ISNUMBER(SEARCH("finlandais",B177)),ISNUMBER(SEARCH("polonais",B177)),ISNUMBER(SEARCH("tchèque",B177)),ISNUMBER(SEARCH("hongrois",B177)),ISNUMBER(SEARCH("grec",B177)),ISNUMBER(SEARCH("byzantin",B177)),ISNUMBER(SEARCH("croate",B177)),ISNUMBER(SEARCH("ukrainien",B177)),ISNUMBER(SEARCH("bulgare",B177)),ISNUMBER(SEARCH("biélorusse",B177)),ISNUMBER(SEARCH("maltais",B177))),"Autres pays d'Europe",IF(OR(ISNUMBER(SEARCH("américain",B177)),ISNUMBER(SEARCH("mexicain",B177)),ISNUMBER(SEARCH("canadien",B177)),ISNUMBER(SEARCH("brésilien",B177)),ISNUMBER(SEARCH("argentin",B177))),"Amérique",IF(OR(ISNUMBER(SEARCH("chinois",B177)),ISNUMBER(SEARCH("japonais",B177)),ISNUMBER(SEARCH("coréen",B177)),ISNUMBER(SEARCH("indien",B177)),ISNUMBER(SEARCH("persan",B177)),ISNUMBER(SEARCH("iranien",B177))),"Asie","(non classée)"))))</f>
        <v/>
      </c>
    </row>
    <row r="178">
      <c r="A178" s="2" t="inlineStr">
        <is>
          <t>DANTE GABRIEL ROSSETTI</t>
        </is>
      </c>
      <c r="B178" s="2" t="inlineStr">
        <is>
          <t>anglaise (Royaume-Uni)</t>
        </is>
      </c>
      <c r="C178" s="2" t="inlineStr">
        <is>
          <t>peinture</t>
        </is>
      </c>
      <c r="D178" s="2" t="inlineStr">
        <is>
          <t>19e</t>
        </is>
      </c>
      <c r="U178">
        <f>IF(ISNUMBER(SEARCH("fran",B178)),"France",IF(OR(ISNUMBER(SEARCH("italien",B178)),ISNUMBER(SEARCH("espagn",B178)),ISNUMBER(SEARCH("catalan",B178)),ISNUMBER(SEARCH("flamand",B178)),ISNUMBER(SEARCH("belge",B178)),ISNUMBER(SEARCH("hollandais",B178)),ISNUMBER(SEARCH("néerlandais",B178)),ISNUMBER(SEARCH("allemand",B178)),ISNUMBER(SEARCH("autrichien",B178)),ISNUMBER(SEARCH("suisse",B178)),ISNUMBER(SEARCH("anglais",B178)),ISNUMBER(SEARCH("britannique",B178)),ISNUMBER(SEARCH("écossais",B178)),ISNUMBER(SEARCH("irlandais",B178)),ISNUMBER(SEARCH("russe",B178)),ISNUMBER(SEARCH("portugais",B178)),ISNUMBER(SEARCH("danois",B178)),ISNUMBER(SEARCH("norvégien",B178)),ISNUMBER(SEARCH("suédois",B178)),ISNUMBER(SEARCH("finlandais",B178)),ISNUMBER(SEARCH("polonais",B178)),ISNUMBER(SEARCH("tchèque",B178)),ISNUMBER(SEARCH("hongrois",B178)),ISNUMBER(SEARCH("grec",B178)),ISNUMBER(SEARCH("byzantin",B178)),ISNUMBER(SEARCH("croate",B178)),ISNUMBER(SEARCH("ukrainien",B178)),ISNUMBER(SEARCH("bulgare",B178)),ISNUMBER(SEARCH("biélorusse",B178)),ISNUMBER(SEARCH("maltais",B178))),"Autres pays d'Europe",IF(OR(ISNUMBER(SEARCH("américain",B178)),ISNUMBER(SEARCH("mexicain",B178)),ISNUMBER(SEARCH("canadien",B178)),ISNUMBER(SEARCH("brésilien",B178)),ISNUMBER(SEARCH("argentin",B178))),"Amérique",IF(OR(ISNUMBER(SEARCH("chinois",B178)),ISNUMBER(SEARCH("japonais",B178)),ISNUMBER(SEARCH("coréen",B178)),ISNUMBER(SEARCH("indien",B178)),ISNUMBER(SEARCH("persan",B178)),ISNUMBER(SEARCH("iranien",B178))),"Asie","(non classée)"))))</f>
        <v/>
      </c>
    </row>
    <row r="179">
      <c r="A179" s="2" t="inlineStr">
        <is>
          <t>DAVID TENIERS LE JEUNE</t>
        </is>
      </c>
      <c r="B179" s="2" t="inlineStr">
        <is>
          <t>hollandaise (Pays-Bas)</t>
        </is>
      </c>
      <c r="C179" s="2" t="inlineStr">
        <is>
          <t>peinture</t>
        </is>
      </c>
      <c r="D179" s="2" t="inlineStr">
        <is>
          <t>17e</t>
        </is>
      </c>
      <c r="U179">
        <f>IF(ISNUMBER(SEARCH("fran",B179)),"France",IF(OR(ISNUMBER(SEARCH("italien",B179)),ISNUMBER(SEARCH("espagn",B179)),ISNUMBER(SEARCH("catalan",B179)),ISNUMBER(SEARCH("flamand",B179)),ISNUMBER(SEARCH("belge",B179)),ISNUMBER(SEARCH("hollandais",B179)),ISNUMBER(SEARCH("néerlandais",B179)),ISNUMBER(SEARCH("allemand",B179)),ISNUMBER(SEARCH("autrichien",B179)),ISNUMBER(SEARCH("suisse",B179)),ISNUMBER(SEARCH("anglais",B179)),ISNUMBER(SEARCH("britannique",B179)),ISNUMBER(SEARCH("écossais",B179)),ISNUMBER(SEARCH("irlandais",B179)),ISNUMBER(SEARCH("russe",B179)),ISNUMBER(SEARCH("portugais",B179)),ISNUMBER(SEARCH("danois",B179)),ISNUMBER(SEARCH("norvégien",B179)),ISNUMBER(SEARCH("suédois",B179)),ISNUMBER(SEARCH("finlandais",B179)),ISNUMBER(SEARCH("polonais",B179)),ISNUMBER(SEARCH("tchèque",B179)),ISNUMBER(SEARCH("hongrois",B179)),ISNUMBER(SEARCH("grec",B179)),ISNUMBER(SEARCH("byzantin",B179)),ISNUMBER(SEARCH("croate",B179)),ISNUMBER(SEARCH("ukrainien",B179)),ISNUMBER(SEARCH("bulgare",B179)),ISNUMBER(SEARCH("biélorusse",B179)),ISNUMBER(SEARCH("maltais",B179))),"Autres pays d'Europe",IF(OR(ISNUMBER(SEARCH("américain",B179)),ISNUMBER(SEARCH("mexicain",B179)),ISNUMBER(SEARCH("canadien",B179)),ISNUMBER(SEARCH("brésilien",B179)),ISNUMBER(SEARCH("argentin",B179))),"Amérique",IF(OR(ISNUMBER(SEARCH("chinois",B179)),ISNUMBER(SEARCH("japonais",B179)),ISNUMBER(SEARCH("coréen",B179)),ISNUMBER(SEARCH("indien",B179)),ISNUMBER(SEARCH("persan",B179)),ISNUMBER(SEARCH("iranien",B179))),"Asie","(non classée)"))))</f>
        <v/>
      </c>
    </row>
    <row r="180">
      <c r="A180" s="2" t="inlineStr">
        <is>
          <t>DAVID D'ANGERS</t>
        </is>
      </c>
      <c r="B180" s="2" t="inlineStr">
        <is>
          <t>française</t>
        </is>
      </c>
      <c r="C180" s="2" t="inlineStr">
        <is>
          <t>sculpture</t>
        </is>
      </c>
      <c r="D180" s="2" t="inlineStr">
        <is>
          <t>19e</t>
        </is>
      </c>
      <c r="U180">
        <f>IF(ISNUMBER(SEARCH("fran",B180)),"France",IF(OR(ISNUMBER(SEARCH("italien",B180)),ISNUMBER(SEARCH("espagn",B180)),ISNUMBER(SEARCH("catalan",B180)),ISNUMBER(SEARCH("flamand",B180)),ISNUMBER(SEARCH("belge",B180)),ISNUMBER(SEARCH("hollandais",B180)),ISNUMBER(SEARCH("néerlandais",B180)),ISNUMBER(SEARCH("allemand",B180)),ISNUMBER(SEARCH("autrichien",B180)),ISNUMBER(SEARCH("suisse",B180)),ISNUMBER(SEARCH("anglais",B180)),ISNUMBER(SEARCH("britannique",B180)),ISNUMBER(SEARCH("écossais",B180)),ISNUMBER(SEARCH("irlandais",B180)),ISNUMBER(SEARCH("russe",B180)),ISNUMBER(SEARCH("portugais",B180)),ISNUMBER(SEARCH("danois",B180)),ISNUMBER(SEARCH("norvégien",B180)),ISNUMBER(SEARCH("suédois",B180)),ISNUMBER(SEARCH("finlandais",B180)),ISNUMBER(SEARCH("polonais",B180)),ISNUMBER(SEARCH("tchèque",B180)),ISNUMBER(SEARCH("hongrois",B180)),ISNUMBER(SEARCH("grec",B180)),ISNUMBER(SEARCH("byzantin",B180)),ISNUMBER(SEARCH("croate",B180)),ISNUMBER(SEARCH("ukrainien",B180)),ISNUMBER(SEARCH("bulgare",B180)),ISNUMBER(SEARCH("biélorusse",B180)),ISNUMBER(SEARCH("maltais",B180))),"Autres pays d'Europe",IF(OR(ISNUMBER(SEARCH("américain",B180)),ISNUMBER(SEARCH("mexicain",B180)),ISNUMBER(SEARCH("canadien",B180)),ISNUMBER(SEARCH("brésilien",B180)),ISNUMBER(SEARCH("argentin",B180))),"Amérique",IF(OR(ISNUMBER(SEARCH("chinois",B180)),ISNUMBER(SEARCH("japonais",B180)),ISNUMBER(SEARCH("coréen",B180)),ISNUMBER(SEARCH("indien",B180)),ISNUMBER(SEARCH("persan",B180)),ISNUMBER(SEARCH("iranien",B180))),"Asie","(non classée)"))))</f>
        <v/>
      </c>
    </row>
    <row r="181">
      <c r="A181" s="2" t="inlineStr">
        <is>
          <t>DESIDERIO DA SETTIGNANO</t>
        </is>
      </c>
      <c r="B181" s="2" t="inlineStr">
        <is>
          <t>italienne</t>
        </is>
      </c>
      <c r="C181" s="2" t="inlineStr">
        <is>
          <t>sculpture</t>
        </is>
      </c>
      <c r="D181" s="2" t="inlineStr">
        <is>
          <t>15e</t>
        </is>
      </c>
      <c r="U181">
        <f>IF(ISNUMBER(SEARCH("fran",B181)),"France",IF(OR(ISNUMBER(SEARCH("italien",B181)),ISNUMBER(SEARCH("espagn",B181)),ISNUMBER(SEARCH("catalan",B181)),ISNUMBER(SEARCH("flamand",B181)),ISNUMBER(SEARCH("belge",B181)),ISNUMBER(SEARCH("hollandais",B181)),ISNUMBER(SEARCH("néerlandais",B181)),ISNUMBER(SEARCH("allemand",B181)),ISNUMBER(SEARCH("autrichien",B181)),ISNUMBER(SEARCH("suisse",B181)),ISNUMBER(SEARCH("anglais",B181)),ISNUMBER(SEARCH("britannique",B181)),ISNUMBER(SEARCH("écossais",B181)),ISNUMBER(SEARCH("irlandais",B181)),ISNUMBER(SEARCH("russe",B181)),ISNUMBER(SEARCH("portugais",B181)),ISNUMBER(SEARCH("danois",B181)),ISNUMBER(SEARCH("norvégien",B181)),ISNUMBER(SEARCH("suédois",B181)),ISNUMBER(SEARCH("finlandais",B181)),ISNUMBER(SEARCH("polonais",B181)),ISNUMBER(SEARCH("tchèque",B181)),ISNUMBER(SEARCH("hongrois",B181)),ISNUMBER(SEARCH("grec",B181)),ISNUMBER(SEARCH("byzantin",B181)),ISNUMBER(SEARCH("croate",B181)),ISNUMBER(SEARCH("ukrainien",B181)),ISNUMBER(SEARCH("bulgare",B181)),ISNUMBER(SEARCH("biélorusse",B181)),ISNUMBER(SEARCH("maltais",B181))),"Autres pays d'Europe",IF(OR(ISNUMBER(SEARCH("américain",B181)),ISNUMBER(SEARCH("mexicain",B181)),ISNUMBER(SEARCH("canadien",B181)),ISNUMBER(SEARCH("brésilien",B181)),ISNUMBER(SEARCH("argentin",B181))),"Amérique",IF(OR(ISNUMBER(SEARCH("chinois",B181)),ISNUMBER(SEARCH("japonais",B181)),ISNUMBER(SEARCH("coréen",B181)),ISNUMBER(SEARCH("indien",B181)),ISNUMBER(SEARCH("persan",B181)),ISNUMBER(SEARCH("iranien",B181))),"Asie","(non classée)"))))</f>
        <v/>
      </c>
    </row>
    <row r="182">
      <c r="A182" s="2" t="inlineStr">
        <is>
          <t>DIEGO VELÁZQUEZ</t>
        </is>
      </c>
      <c r="B182" s="2" t="inlineStr">
        <is>
          <t>espagnole</t>
        </is>
      </c>
      <c r="C182" s="2" t="inlineStr">
        <is>
          <t>peinture</t>
        </is>
      </c>
      <c r="D182" s="2" t="inlineStr">
        <is>
          <t>17e</t>
        </is>
      </c>
      <c r="U182">
        <f>IF(ISNUMBER(SEARCH("fran",B182)),"France",IF(OR(ISNUMBER(SEARCH("italien",B182)),ISNUMBER(SEARCH("espagn",B182)),ISNUMBER(SEARCH("catalan",B182)),ISNUMBER(SEARCH("flamand",B182)),ISNUMBER(SEARCH("belge",B182)),ISNUMBER(SEARCH("hollandais",B182)),ISNUMBER(SEARCH("néerlandais",B182)),ISNUMBER(SEARCH("allemand",B182)),ISNUMBER(SEARCH("autrichien",B182)),ISNUMBER(SEARCH("suisse",B182)),ISNUMBER(SEARCH("anglais",B182)),ISNUMBER(SEARCH("britannique",B182)),ISNUMBER(SEARCH("écossais",B182)),ISNUMBER(SEARCH("irlandais",B182)),ISNUMBER(SEARCH("russe",B182)),ISNUMBER(SEARCH("portugais",B182)),ISNUMBER(SEARCH("danois",B182)),ISNUMBER(SEARCH("norvégien",B182)),ISNUMBER(SEARCH("suédois",B182)),ISNUMBER(SEARCH("finlandais",B182)),ISNUMBER(SEARCH("polonais",B182)),ISNUMBER(SEARCH("tchèque",B182)),ISNUMBER(SEARCH("hongrois",B182)),ISNUMBER(SEARCH("grec",B182)),ISNUMBER(SEARCH("byzantin",B182)),ISNUMBER(SEARCH("croate",B182)),ISNUMBER(SEARCH("ukrainien",B182)),ISNUMBER(SEARCH("bulgare",B182)),ISNUMBER(SEARCH("biélorusse",B182)),ISNUMBER(SEARCH("maltais",B182))),"Autres pays d'Europe",IF(OR(ISNUMBER(SEARCH("américain",B182)),ISNUMBER(SEARCH("mexicain",B182)),ISNUMBER(SEARCH("canadien",B182)),ISNUMBER(SEARCH("brésilien",B182)),ISNUMBER(SEARCH("argentin",B182))),"Amérique",IF(OR(ISNUMBER(SEARCH("chinois",B182)),ISNUMBER(SEARCH("japonais",B182)),ISNUMBER(SEARCH("coréen",B182)),ISNUMBER(SEARCH("indien",B182)),ISNUMBER(SEARCH("persan",B182)),ISNUMBER(SEARCH("iranien",B182))),"Asie","(non classée)"))))</f>
        <v/>
      </c>
    </row>
    <row r="183">
      <c r="A183" s="2" t="inlineStr">
        <is>
          <t>DIEGO DE SILOÉ</t>
        </is>
      </c>
      <c r="B183" s="2" t="inlineStr">
        <is>
          <t>espagnole</t>
        </is>
      </c>
      <c r="C183" s="2" t="inlineStr">
        <is>
          <t>sculpture</t>
        </is>
      </c>
      <c r="D183" s="2" t="inlineStr">
        <is>
          <t>16e</t>
        </is>
      </c>
      <c r="U183">
        <f>IF(ISNUMBER(SEARCH("fran",B183)),"France",IF(OR(ISNUMBER(SEARCH("italien",B183)),ISNUMBER(SEARCH("espagn",B183)),ISNUMBER(SEARCH("catalan",B183)),ISNUMBER(SEARCH("flamand",B183)),ISNUMBER(SEARCH("belge",B183)),ISNUMBER(SEARCH("hollandais",B183)),ISNUMBER(SEARCH("néerlandais",B183)),ISNUMBER(SEARCH("allemand",B183)),ISNUMBER(SEARCH("autrichien",B183)),ISNUMBER(SEARCH("suisse",B183)),ISNUMBER(SEARCH("anglais",B183)),ISNUMBER(SEARCH("britannique",B183)),ISNUMBER(SEARCH("écossais",B183)),ISNUMBER(SEARCH("irlandais",B183)),ISNUMBER(SEARCH("russe",B183)),ISNUMBER(SEARCH("portugais",B183)),ISNUMBER(SEARCH("danois",B183)),ISNUMBER(SEARCH("norvégien",B183)),ISNUMBER(SEARCH("suédois",B183)),ISNUMBER(SEARCH("finlandais",B183)),ISNUMBER(SEARCH("polonais",B183)),ISNUMBER(SEARCH("tchèque",B183)),ISNUMBER(SEARCH("hongrois",B183)),ISNUMBER(SEARCH("grec",B183)),ISNUMBER(SEARCH("byzantin",B183)),ISNUMBER(SEARCH("croate",B183)),ISNUMBER(SEARCH("ukrainien",B183)),ISNUMBER(SEARCH("bulgare",B183)),ISNUMBER(SEARCH("biélorusse",B183)),ISNUMBER(SEARCH("maltais",B183))),"Autres pays d'Europe",IF(OR(ISNUMBER(SEARCH("américain",B183)),ISNUMBER(SEARCH("mexicain",B183)),ISNUMBER(SEARCH("canadien",B183)),ISNUMBER(SEARCH("brésilien",B183)),ISNUMBER(SEARCH("argentin",B183))),"Amérique",IF(OR(ISNUMBER(SEARCH("chinois",B183)),ISNUMBER(SEARCH("japonais",B183)),ISNUMBER(SEARCH("coréen",B183)),ISNUMBER(SEARCH("indien",B183)),ISNUMBER(SEARCH("persan",B183)),ISNUMBER(SEARCH("iranien",B183))),"Asie","(non classée)"))))</f>
        <v/>
      </c>
    </row>
    <row r="184">
      <c r="A184" s="2" t="inlineStr">
        <is>
          <t>DIRK BOUTS</t>
        </is>
      </c>
      <c r="B184" s="2" t="inlineStr">
        <is>
          <t>flamande (Belgique)</t>
        </is>
      </c>
      <c r="C184" s="2" t="inlineStr">
        <is>
          <t>peinture</t>
        </is>
      </c>
      <c r="D184" s="2" t="inlineStr">
        <is>
          <t>15e</t>
        </is>
      </c>
      <c r="U184">
        <f>IF(ISNUMBER(SEARCH("fran",B184)),"France",IF(OR(ISNUMBER(SEARCH("italien",B184)),ISNUMBER(SEARCH("espagn",B184)),ISNUMBER(SEARCH("catalan",B184)),ISNUMBER(SEARCH("flamand",B184)),ISNUMBER(SEARCH("belge",B184)),ISNUMBER(SEARCH("hollandais",B184)),ISNUMBER(SEARCH("néerlandais",B184)),ISNUMBER(SEARCH("allemand",B184)),ISNUMBER(SEARCH("autrichien",B184)),ISNUMBER(SEARCH("suisse",B184)),ISNUMBER(SEARCH("anglais",B184)),ISNUMBER(SEARCH("britannique",B184)),ISNUMBER(SEARCH("écossais",B184)),ISNUMBER(SEARCH("irlandais",B184)),ISNUMBER(SEARCH("russe",B184)),ISNUMBER(SEARCH("portugais",B184)),ISNUMBER(SEARCH("danois",B184)),ISNUMBER(SEARCH("norvégien",B184)),ISNUMBER(SEARCH("suédois",B184)),ISNUMBER(SEARCH("finlandais",B184)),ISNUMBER(SEARCH("polonais",B184)),ISNUMBER(SEARCH("tchèque",B184)),ISNUMBER(SEARCH("hongrois",B184)),ISNUMBER(SEARCH("grec",B184)),ISNUMBER(SEARCH("byzantin",B184)),ISNUMBER(SEARCH("croate",B184)),ISNUMBER(SEARCH("ukrainien",B184)),ISNUMBER(SEARCH("bulgare",B184)),ISNUMBER(SEARCH("biélorusse",B184)),ISNUMBER(SEARCH("maltais",B184))),"Autres pays d'Europe",IF(OR(ISNUMBER(SEARCH("américain",B184)),ISNUMBER(SEARCH("mexicain",B184)),ISNUMBER(SEARCH("canadien",B184)),ISNUMBER(SEARCH("brésilien",B184)),ISNUMBER(SEARCH("argentin",B184))),"Amérique",IF(OR(ISNUMBER(SEARCH("chinois",B184)),ISNUMBER(SEARCH("japonais",B184)),ISNUMBER(SEARCH("coréen",B184)),ISNUMBER(SEARCH("indien",B184)),ISNUMBER(SEARCH("persan",B184)),ISNUMBER(SEARCH("iranien",B184))),"Asie","(non classée)"))))</f>
        <v/>
      </c>
    </row>
    <row r="185">
      <c r="A185" s="2" t="inlineStr">
        <is>
          <t>DMITRI LEVITZKY</t>
        </is>
      </c>
      <c r="B185" s="2" t="inlineStr">
        <is>
          <t>russe</t>
        </is>
      </c>
      <c r="C185" s="2" t="inlineStr">
        <is>
          <t>peinture</t>
        </is>
      </c>
      <c r="D185" s="2" t="inlineStr">
        <is>
          <t>18e</t>
        </is>
      </c>
      <c r="U185">
        <f>IF(ISNUMBER(SEARCH("fran",B185)),"France",IF(OR(ISNUMBER(SEARCH("italien",B185)),ISNUMBER(SEARCH("espagn",B185)),ISNUMBER(SEARCH("catalan",B185)),ISNUMBER(SEARCH("flamand",B185)),ISNUMBER(SEARCH("belge",B185)),ISNUMBER(SEARCH("hollandais",B185)),ISNUMBER(SEARCH("néerlandais",B185)),ISNUMBER(SEARCH("allemand",B185)),ISNUMBER(SEARCH("autrichien",B185)),ISNUMBER(SEARCH("suisse",B185)),ISNUMBER(SEARCH("anglais",B185)),ISNUMBER(SEARCH("britannique",B185)),ISNUMBER(SEARCH("écossais",B185)),ISNUMBER(SEARCH("irlandais",B185)),ISNUMBER(SEARCH("russe",B185)),ISNUMBER(SEARCH("portugais",B185)),ISNUMBER(SEARCH("danois",B185)),ISNUMBER(SEARCH("norvégien",B185)),ISNUMBER(SEARCH("suédois",B185)),ISNUMBER(SEARCH("finlandais",B185)),ISNUMBER(SEARCH("polonais",B185)),ISNUMBER(SEARCH("tchèque",B185)),ISNUMBER(SEARCH("hongrois",B185)),ISNUMBER(SEARCH("grec",B185)),ISNUMBER(SEARCH("byzantin",B185)),ISNUMBER(SEARCH("croate",B185)),ISNUMBER(SEARCH("ukrainien",B185)),ISNUMBER(SEARCH("bulgare",B185)),ISNUMBER(SEARCH("biélorusse",B185)),ISNUMBER(SEARCH("maltais",B185))),"Autres pays d'Europe",IF(OR(ISNUMBER(SEARCH("américain",B185)),ISNUMBER(SEARCH("mexicain",B185)),ISNUMBER(SEARCH("canadien",B185)),ISNUMBER(SEARCH("brésilien",B185)),ISNUMBER(SEARCH("argentin",B185))),"Amérique",IF(OR(ISNUMBER(SEARCH("chinois",B185)),ISNUMBER(SEARCH("japonais",B185)),ISNUMBER(SEARCH("coréen",B185)),ISNUMBER(SEARCH("indien",B185)),ISNUMBER(SEARCH("persan",B185)),ISNUMBER(SEARCH("iranien",B185))),"Asie","(non classée)"))))</f>
        <v/>
      </c>
    </row>
    <row r="186">
      <c r="A186" s="2" t="inlineStr">
        <is>
          <t>DOMENICHINO</t>
        </is>
      </c>
      <c r="B186" s="2" t="inlineStr">
        <is>
          <t>italienne</t>
        </is>
      </c>
      <c r="C186" s="2" t="inlineStr">
        <is>
          <t>peinture</t>
        </is>
      </c>
      <c r="D186" s="2" t="inlineStr">
        <is>
          <t>17e</t>
        </is>
      </c>
      <c r="U186">
        <f>IF(ISNUMBER(SEARCH("fran",B186)),"France",IF(OR(ISNUMBER(SEARCH("italien",B186)),ISNUMBER(SEARCH("espagn",B186)),ISNUMBER(SEARCH("catalan",B186)),ISNUMBER(SEARCH("flamand",B186)),ISNUMBER(SEARCH("belge",B186)),ISNUMBER(SEARCH("hollandais",B186)),ISNUMBER(SEARCH("néerlandais",B186)),ISNUMBER(SEARCH("allemand",B186)),ISNUMBER(SEARCH("autrichien",B186)),ISNUMBER(SEARCH("suisse",B186)),ISNUMBER(SEARCH("anglais",B186)),ISNUMBER(SEARCH("britannique",B186)),ISNUMBER(SEARCH("écossais",B186)),ISNUMBER(SEARCH("irlandais",B186)),ISNUMBER(SEARCH("russe",B186)),ISNUMBER(SEARCH("portugais",B186)),ISNUMBER(SEARCH("danois",B186)),ISNUMBER(SEARCH("norvégien",B186)),ISNUMBER(SEARCH("suédois",B186)),ISNUMBER(SEARCH("finlandais",B186)),ISNUMBER(SEARCH("polonais",B186)),ISNUMBER(SEARCH("tchèque",B186)),ISNUMBER(SEARCH("hongrois",B186)),ISNUMBER(SEARCH("grec",B186)),ISNUMBER(SEARCH("byzantin",B186)),ISNUMBER(SEARCH("croate",B186)),ISNUMBER(SEARCH("ukrainien",B186)),ISNUMBER(SEARCH("bulgare",B186)),ISNUMBER(SEARCH("biélorusse",B186)),ISNUMBER(SEARCH("maltais",B186))),"Autres pays d'Europe",IF(OR(ISNUMBER(SEARCH("américain",B186)),ISNUMBER(SEARCH("mexicain",B186)),ISNUMBER(SEARCH("canadien",B186)),ISNUMBER(SEARCH("brésilien",B186)),ISNUMBER(SEARCH("argentin",B186))),"Amérique",IF(OR(ISNUMBER(SEARCH("chinois",B186)),ISNUMBER(SEARCH("japonais",B186)),ISNUMBER(SEARCH("coréen",B186)),ISNUMBER(SEARCH("indien",B186)),ISNUMBER(SEARCH("persan",B186)),ISNUMBER(SEARCH("iranien",B186))),"Asie","(non classée)"))))</f>
        <v/>
      </c>
    </row>
    <row r="187">
      <c r="A187" s="2" t="inlineStr">
        <is>
          <t>DOMENICO BECCAFUMI</t>
        </is>
      </c>
      <c r="B187" s="2" t="inlineStr">
        <is>
          <t>italienne</t>
        </is>
      </c>
      <c r="C187" s="2" t="inlineStr">
        <is>
          <t>peinture</t>
        </is>
      </c>
      <c r="D187" s="2" t="inlineStr">
        <is>
          <t>16e</t>
        </is>
      </c>
      <c r="U187">
        <f>IF(ISNUMBER(SEARCH("fran",B187)),"France",IF(OR(ISNUMBER(SEARCH("italien",B187)),ISNUMBER(SEARCH("espagn",B187)),ISNUMBER(SEARCH("catalan",B187)),ISNUMBER(SEARCH("flamand",B187)),ISNUMBER(SEARCH("belge",B187)),ISNUMBER(SEARCH("hollandais",B187)),ISNUMBER(SEARCH("néerlandais",B187)),ISNUMBER(SEARCH("allemand",B187)),ISNUMBER(SEARCH("autrichien",B187)),ISNUMBER(SEARCH("suisse",B187)),ISNUMBER(SEARCH("anglais",B187)),ISNUMBER(SEARCH("britannique",B187)),ISNUMBER(SEARCH("écossais",B187)),ISNUMBER(SEARCH("irlandais",B187)),ISNUMBER(SEARCH("russe",B187)),ISNUMBER(SEARCH("portugais",B187)),ISNUMBER(SEARCH("danois",B187)),ISNUMBER(SEARCH("norvégien",B187)),ISNUMBER(SEARCH("suédois",B187)),ISNUMBER(SEARCH("finlandais",B187)),ISNUMBER(SEARCH("polonais",B187)),ISNUMBER(SEARCH("tchèque",B187)),ISNUMBER(SEARCH("hongrois",B187)),ISNUMBER(SEARCH("grec",B187)),ISNUMBER(SEARCH("byzantin",B187)),ISNUMBER(SEARCH("croate",B187)),ISNUMBER(SEARCH("ukrainien",B187)),ISNUMBER(SEARCH("bulgare",B187)),ISNUMBER(SEARCH("biélorusse",B187)),ISNUMBER(SEARCH("maltais",B187))),"Autres pays d'Europe",IF(OR(ISNUMBER(SEARCH("américain",B187)),ISNUMBER(SEARCH("mexicain",B187)),ISNUMBER(SEARCH("canadien",B187)),ISNUMBER(SEARCH("brésilien",B187)),ISNUMBER(SEARCH("argentin",B187))),"Amérique",IF(OR(ISNUMBER(SEARCH("chinois",B187)),ISNUMBER(SEARCH("japonais",B187)),ISNUMBER(SEARCH("coréen",B187)),ISNUMBER(SEARCH("indien",B187)),ISNUMBER(SEARCH("persan",B187)),ISNUMBER(SEARCH("iranien",B187))),"Asie","(non classée)"))))</f>
        <v/>
      </c>
    </row>
    <row r="188">
      <c r="A188" s="2" t="inlineStr">
        <is>
          <t>DOMENICO GAGINI</t>
        </is>
      </c>
      <c r="B188" s="2" t="inlineStr">
        <is>
          <t>italienne</t>
        </is>
      </c>
      <c r="C188" s="2" t="inlineStr">
        <is>
          <t>sculpture</t>
        </is>
      </c>
      <c r="D188" s="2" t="inlineStr">
        <is>
          <t>15e</t>
        </is>
      </c>
      <c r="U188">
        <f>IF(ISNUMBER(SEARCH("fran",B188)),"France",IF(OR(ISNUMBER(SEARCH("italien",B188)),ISNUMBER(SEARCH("espagn",B188)),ISNUMBER(SEARCH("catalan",B188)),ISNUMBER(SEARCH("flamand",B188)),ISNUMBER(SEARCH("belge",B188)),ISNUMBER(SEARCH("hollandais",B188)),ISNUMBER(SEARCH("néerlandais",B188)),ISNUMBER(SEARCH("allemand",B188)),ISNUMBER(SEARCH("autrichien",B188)),ISNUMBER(SEARCH("suisse",B188)),ISNUMBER(SEARCH("anglais",B188)),ISNUMBER(SEARCH("britannique",B188)),ISNUMBER(SEARCH("écossais",B188)),ISNUMBER(SEARCH("irlandais",B188)),ISNUMBER(SEARCH("russe",B188)),ISNUMBER(SEARCH("portugais",B188)),ISNUMBER(SEARCH("danois",B188)),ISNUMBER(SEARCH("norvégien",B188)),ISNUMBER(SEARCH("suédois",B188)),ISNUMBER(SEARCH("finlandais",B188)),ISNUMBER(SEARCH("polonais",B188)),ISNUMBER(SEARCH("tchèque",B188)),ISNUMBER(SEARCH("hongrois",B188)),ISNUMBER(SEARCH("grec",B188)),ISNUMBER(SEARCH("byzantin",B188)),ISNUMBER(SEARCH("croate",B188)),ISNUMBER(SEARCH("ukrainien",B188)),ISNUMBER(SEARCH("bulgare",B188)),ISNUMBER(SEARCH("biélorusse",B188)),ISNUMBER(SEARCH("maltais",B188))),"Autres pays d'Europe",IF(OR(ISNUMBER(SEARCH("américain",B188)),ISNUMBER(SEARCH("mexicain",B188)),ISNUMBER(SEARCH("canadien",B188)),ISNUMBER(SEARCH("brésilien",B188)),ISNUMBER(SEARCH("argentin",B188))),"Amérique",IF(OR(ISNUMBER(SEARCH("chinois",B188)),ISNUMBER(SEARCH("japonais",B188)),ISNUMBER(SEARCH("coréen",B188)),ISNUMBER(SEARCH("indien",B188)),ISNUMBER(SEARCH("persan",B188)),ISNUMBER(SEARCH("iranien",B188))),"Asie","(non classée)"))))</f>
        <v/>
      </c>
    </row>
    <row r="189">
      <c r="A189" s="2" t="inlineStr">
        <is>
          <t>DOMENICO GHIRLANDAIO</t>
        </is>
      </c>
      <c r="B189" s="2" t="inlineStr">
        <is>
          <t>italienne</t>
        </is>
      </c>
      <c r="C189" s="2" t="inlineStr">
        <is>
          <t>peinture</t>
        </is>
      </c>
      <c r="D189" s="2" t="inlineStr">
        <is>
          <t>15e</t>
        </is>
      </c>
      <c r="U189">
        <f>IF(ISNUMBER(SEARCH("fran",B189)),"France",IF(OR(ISNUMBER(SEARCH("italien",B189)),ISNUMBER(SEARCH("espagn",B189)),ISNUMBER(SEARCH("catalan",B189)),ISNUMBER(SEARCH("flamand",B189)),ISNUMBER(SEARCH("belge",B189)),ISNUMBER(SEARCH("hollandais",B189)),ISNUMBER(SEARCH("néerlandais",B189)),ISNUMBER(SEARCH("allemand",B189)),ISNUMBER(SEARCH("autrichien",B189)),ISNUMBER(SEARCH("suisse",B189)),ISNUMBER(SEARCH("anglais",B189)),ISNUMBER(SEARCH("britannique",B189)),ISNUMBER(SEARCH("écossais",B189)),ISNUMBER(SEARCH("irlandais",B189)),ISNUMBER(SEARCH("russe",B189)),ISNUMBER(SEARCH("portugais",B189)),ISNUMBER(SEARCH("danois",B189)),ISNUMBER(SEARCH("norvégien",B189)),ISNUMBER(SEARCH("suédois",B189)),ISNUMBER(SEARCH("finlandais",B189)),ISNUMBER(SEARCH("polonais",B189)),ISNUMBER(SEARCH("tchèque",B189)),ISNUMBER(SEARCH("hongrois",B189)),ISNUMBER(SEARCH("grec",B189)),ISNUMBER(SEARCH("byzantin",B189)),ISNUMBER(SEARCH("croate",B189)),ISNUMBER(SEARCH("ukrainien",B189)),ISNUMBER(SEARCH("bulgare",B189)),ISNUMBER(SEARCH("biélorusse",B189)),ISNUMBER(SEARCH("maltais",B189))),"Autres pays d'Europe",IF(OR(ISNUMBER(SEARCH("américain",B189)),ISNUMBER(SEARCH("mexicain",B189)),ISNUMBER(SEARCH("canadien",B189)),ISNUMBER(SEARCH("brésilien",B189)),ISNUMBER(SEARCH("argentin",B189))),"Amérique",IF(OR(ISNUMBER(SEARCH("chinois",B189)),ISNUMBER(SEARCH("japonais",B189)),ISNUMBER(SEARCH("coréen",B189)),ISNUMBER(SEARCH("indien",B189)),ISNUMBER(SEARCH("persan",B189)),ISNUMBER(SEARCH("iranien",B189))),"Asie","(non classée)"))))</f>
        <v/>
      </c>
    </row>
    <row r="190">
      <c r="A190" s="2" t="inlineStr">
        <is>
          <t>DOMENICO GUIDI</t>
        </is>
      </c>
      <c r="B190" s="2" t="inlineStr">
        <is>
          <t>italienne</t>
        </is>
      </c>
      <c r="C190" s="2" t="inlineStr">
        <is>
          <t>sculpture</t>
        </is>
      </c>
      <c r="D190" s="2" t="inlineStr">
        <is>
          <t>17e</t>
        </is>
      </c>
      <c r="U190">
        <f>IF(ISNUMBER(SEARCH("fran",B190)),"France",IF(OR(ISNUMBER(SEARCH("italien",B190)),ISNUMBER(SEARCH("espagn",B190)),ISNUMBER(SEARCH("catalan",B190)),ISNUMBER(SEARCH("flamand",B190)),ISNUMBER(SEARCH("belge",B190)),ISNUMBER(SEARCH("hollandais",B190)),ISNUMBER(SEARCH("néerlandais",B190)),ISNUMBER(SEARCH("allemand",B190)),ISNUMBER(SEARCH("autrichien",B190)),ISNUMBER(SEARCH("suisse",B190)),ISNUMBER(SEARCH("anglais",B190)),ISNUMBER(SEARCH("britannique",B190)),ISNUMBER(SEARCH("écossais",B190)),ISNUMBER(SEARCH("irlandais",B190)),ISNUMBER(SEARCH("russe",B190)),ISNUMBER(SEARCH("portugais",B190)),ISNUMBER(SEARCH("danois",B190)),ISNUMBER(SEARCH("norvégien",B190)),ISNUMBER(SEARCH("suédois",B190)),ISNUMBER(SEARCH("finlandais",B190)),ISNUMBER(SEARCH("polonais",B190)),ISNUMBER(SEARCH("tchèque",B190)),ISNUMBER(SEARCH("hongrois",B190)),ISNUMBER(SEARCH("grec",B190)),ISNUMBER(SEARCH("byzantin",B190)),ISNUMBER(SEARCH("croate",B190)),ISNUMBER(SEARCH("ukrainien",B190)),ISNUMBER(SEARCH("bulgare",B190)),ISNUMBER(SEARCH("biélorusse",B190)),ISNUMBER(SEARCH("maltais",B190))),"Autres pays d'Europe",IF(OR(ISNUMBER(SEARCH("américain",B190)),ISNUMBER(SEARCH("mexicain",B190)),ISNUMBER(SEARCH("canadien",B190)),ISNUMBER(SEARCH("brésilien",B190)),ISNUMBER(SEARCH("argentin",B190))),"Amérique",IF(OR(ISNUMBER(SEARCH("chinois",B190)),ISNUMBER(SEARCH("japonais",B190)),ISNUMBER(SEARCH("coréen",B190)),ISNUMBER(SEARCH("indien",B190)),ISNUMBER(SEARCH("persan",B190)),ISNUMBER(SEARCH("iranien",B190))),"Asie","(non classée)"))))</f>
        <v/>
      </c>
    </row>
    <row r="191">
      <c r="A191" s="2" t="inlineStr">
        <is>
          <t>DOMENICO VENEZIANO</t>
        </is>
      </c>
      <c r="B191" s="2" t="inlineStr">
        <is>
          <t>italienne</t>
        </is>
      </c>
      <c r="C191" s="2" t="inlineStr">
        <is>
          <t>peinture</t>
        </is>
      </c>
      <c r="D191" s="2" t="inlineStr">
        <is>
          <t>15e</t>
        </is>
      </c>
      <c r="U191">
        <f>IF(ISNUMBER(SEARCH("fran",B191)),"France",IF(OR(ISNUMBER(SEARCH("italien",B191)),ISNUMBER(SEARCH("espagn",B191)),ISNUMBER(SEARCH("catalan",B191)),ISNUMBER(SEARCH("flamand",B191)),ISNUMBER(SEARCH("belge",B191)),ISNUMBER(SEARCH("hollandais",B191)),ISNUMBER(SEARCH("néerlandais",B191)),ISNUMBER(SEARCH("allemand",B191)),ISNUMBER(SEARCH("autrichien",B191)),ISNUMBER(SEARCH("suisse",B191)),ISNUMBER(SEARCH("anglais",B191)),ISNUMBER(SEARCH("britannique",B191)),ISNUMBER(SEARCH("écossais",B191)),ISNUMBER(SEARCH("irlandais",B191)),ISNUMBER(SEARCH("russe",B191)),ISNUMBER(SEARCH("portugais",B191)),ISNUMBER(SEARCH("danois",B191)),ISNUMBER(SEARCH("norvégien",B191)),ISNUMBER(SEARCH("suédois",B191)),ISNUMBER(SEARCH("finlandais",B191)),ISNUMBER(SEARCH("polonais",B191)),ISNUMBER(SEARCH("tchèque",B191)),ISNUMBER(SEARCH("hongrois",B191)),ISNUMBER(SEARCH("grec",B191)),ISNUMBER(SEARCH("byzantin",B191)),ISNUMBER(SEARCH("croate",B191)),ISNUMBER(SEARCH("ukrainien",B191)),ISNUMBER(SEARCH("bulgare",B191)),ISNUMBER(SEARCH("biélorusse",B191)),ISNUMBER(SEARCH("maltais",B191))),"Autres pays d'Europe",IF(OR(ISNUMBER(SEARCH("américain",B191)),ISNUMBER(SEARCH("mexicain",B191)),ISNUMBER(SEARCH("canadien",B191)),ISNUMBER(SEARCH("brésilien",B191)),ISNUMBER(SEARCH("argentin",B191))),"Amérique",IF(OR(ISNUMBER(SEARCH("chinois",B191)),ISNUMBER(SEARCH("japonais",B191)),ISNUMBER(SEARCH("coréen",B191)),ISNUMBER(SEARCH("indien",B191)),ISNUMBER(SEARCH("persan",B191)),ISNUMBER(SEARCH("iranien",B191))),"Asie","(non classée)"))))</f>
        <v/>
      </c>
    </row>
    <row r="192">
      <c r="A192" s="2" t="inlineStr">
        <is>
          <t>DUCCIO DI BUONINSEGNA</t>
        </is>
      </c>
      <c r="B192" s="2" t="inlineStr">
        <is>
          <t>italienne</t>
        </is>
      </c>
      <c r="C192" s="2" t="inlineStr">
        <is>
          <t>peinture</t>
        </is>
      </c>
      <c r="D192" s="2" t="inlineStr">
        <is>
          <t>14e</t>
        </is>
      </c>
      <c r="U192">
        <f>IF(ISNUMBER(SEARCH("fran",B192)),"France",IF(OR(ISNUMBER(SEARCH("italien",B192)),ISNUMBER(SEARCH("espagn",B192)),ISNUMBER(SEARCH("catalan",B192)),ISNUMBER(SEARCH("flamand",B192)),ISNUMBER(SEARCH("belge",B192)),ISNUMBER(SEARCH("hollandais",B192)),ISNUMBER(SEARCH("néerlandais",B192)),ISNUMBER(SEARCH("allemand",B192)),ISNUMBER(SEARCH("autrichien",B192)),ISNUMBER(SEARCH("suisse",B192)),ISNUMBER(SEARCH("anglais",B192)),ISNUMBER(SEARCH("britannique",B192)),ISNUMBER(SEARCH("écossais",B192)),ISNUMBER(SEARCH("irlandais",B192)),ISNUMBER(SEARCH("russe",B192)),ISNUMBER(SEARCH("portugais",B192)),ISNUMBER(SEARCH("danois",B192)),ISNUMBER(SEARCH("norvégien",B192)),ISNUMBER(SEARCH("suédois",B192)),ISNUMBER(SEARCH("finlandais",B192)),ISNUMBER(SEARCH("polonais",B192)),ISNUMBER(SEARCH("tchèque",B192)),ISNUMBER(SEARCH("hongrois",B192)),ISNUMBER(SEARCH("grec",B192)),ISNUMBER(SEARCH("byzantin",B192)),ISNUMBER(SEARCH("croate",B192)),ISNUMBER(SEARCH("ukrainien",B192)),ISNUMBER(SEARCH("bulgare",B192)),ISNUMBER(SEARCH("biélorusse",B192)),ISNUMBER(SEARCH("maltais",B192))),"Autres pays d'Europe",IF(OR(ISNUMBER(SEARCH("américain",B192)),ISNUMBER(SEARCH("mexicain",B192)),ISNUMBER(SEARCH("canadien",B192)),ISNUMBER(SEARCH("brésilien",B192)),ISNUMBER(SEARCH("argentin",B192))),"Amérique",IF(OR(ISNUMBER(SEARCH("chinois",B192)),ISNUMBER(SEARCH("japonais",B192)),ISNUMBER(SEARCH("coréen",B192)),ISNUMBER(SEARCH("indien",B192)),ISNUMBER(SEARCH("persan",B192)),ISNUMBER(SEARCH("iranien",B192))),"Asie","(non classée)"))))</f>
        <v/>
      </c>
    </row>
    <row r="193">
      <c r="A193" s="2" t="inlineStr">
        <is>
          <t>EL GRECO</t>
        </is>
      </c>
      <c r="B193" s="2" t="inlineStr">
        <is>
          <t>grecque</t>
        </is>
      </c>
      <c r="C193" s="2" t="inlineStr">
        <is>
          <t>peinture</t>
        </is>
      </c>
      <c r="D193" s="2" t="inlineStr">
        <is>
          <t>16e</t>
        </is>
      </c>
      <c r="U193">
        <f>IF(ISNUMBER(SEARCH("fran",B193)),"France",IF(OR(ISNUMBER(SEARCH("italien",B193)),ISNUMBER(SEARCH("espagn",B193)),ISNUMBER(SEARCH("catalan",B193)),ISNUMBER(SEARCH("flamand",B193)),ISNUMBER(SEARCH("belge",B193)),ISNUMBER(SEARCH("hollandais",B193)),ISNUMBER(SEARCH("néerlandais",B193)),ISNUMBER(SEARCH("allemand",B193)),ISNUMBER(SEARCH("autrichien",B193)),ISNUMBER(SEARCH("suisse",B193)),ISNUMBER(SEARCH("anglais",B193)),ISNUMBER(SEARCH("britannique",B193)),ISNUMBER(SEARCH("écossais",B193)),ISNUMBER(SEARCH("irlandais",B193)),ISNUMBER(SEARCH("russe",B193)),ISNUMBER(SEARCH("portugais",B193)),ISNUMBER(SEARCH("danois",B193)),ISNUMBER(SEARCH("norvégien",B193)),ISNUMBER(SEARCH("suédois",B193)),ISNUMBER(SEARCH("finlandais",B193)),ISNUMBER(SEARCH("polonais",B193)),ISNUMBER(SEARCH("tchèque",B193)),ISNUMBER(SEARCH("hongrois",B193)),ISNUMBER(SEARCH("grec",B193)),ISNUMBER(SEARCH("byzantin",B193)),ISNUMBER(SEARCH("croate",B193)),ISNUMBER(SEARCH("ukrainien",B193)),ISNUMBER(SEARCH("bulgare",B193)),ISNUMBER(SEARCH("biélorusse",B193)),ISNUMBER(SEARCH("maltais",B193))),"Autres pays d'Europe",IF(OR(ISNUMBER(SEARCH("américain",B193)),ISNUMBER(SEARCH("mexicain",B193)),ISNUMBER(SEARCH("canadien",B193)),ISNUMBER(SEARCH("brésilien",B193)),ISNUMBER(SEARCH("argentin",B193))),"Amérique",IF(OR(ISNUMBER(SEARCH("chinois",B193)),ISNUMBER(SEARCH("japonais",B193)),ISNUMBER(SEARCH("coréen",B193)),ISNUMBER(SEARCH("indien",B193)),ISNUMBER(SEARCH("persan",B193)),ISNUMBER(SEARCH("iranien",B193))),"Asie","(non classée)"))))</f>
        <v/>
      </c>
    </row>
    <row r="194">
      <c r="A194" s="2" t="inlineStr">
        <is>
          <t>EDGAR DEGAS</t>
        </is>
      </c>
      <c r="B194" s="2" t="inlineStr">
        <is>
          <t>française</t>
        </is>
      </c>
      <c r="C194" s="2" t="inlineStr">
        <is>
          <t>peinture</t>
        </is>
      </c>
      <c r="D194" s="2" t="inlineStr">
        <is>
          <t>19e</t>
        </is>
      </c>
      <c r="U194">
        <f>IF(ISNUMBER(SEARCH("fran",B194)),"France",IF(OR(ISNUMBER(SEARCH("italien",B194)),ISNUMBER(SEARCH("espagn",B194)),ISNUMBER(SEARCH("catalan",B194)),ISNUMBER(SEARCH("flamand",B194)),ISNUMBER(SEARCH("belge",B194)),ISNUMBER(SEARCH("hollandais",B194)),ISNUMBER(SEARCH("néerlandais",B194)),ISNUMBER(SEARCH("allemand",B194)),ISNUMBER(SEARCH("autrichien",B194)),ISNUMBER(SEARCH("suisse",B194)),ISNUMBER(SEARCH("anglais",B194)),ISNUMBER(SEARCH("britannique",B194)),ISNUMBER(SEARCH("écossais",B194)),ISNUMBER(SEARCH("irlandais",B194)),ISNUMBER(SEARCH("russe",B194)),ISNUMBER(SEARCH("portugais",B194)),ISNUMBER(SEARCH("danois",B194)),ISNUMBER(SEARCH("norvégien",B194)),ISNUMBER(SEARCH("suédois",B194)),ISNUMBER(SEARCH("finlandais",B194)),ISNUMBER(SEARCH("polonais",B194)),ISNUMBER(SEARCH("tchèque",B194)),ISNUMBER(SEARCH("hongrois",B194)),ISNUMBER(SEARCH("grec",B194)),ISNUMBER(SEARCH("byzantin",B194)),ISNUMBER(SEARCH("croate",B194)),ISNUMBER(SEARCH("ukrainien",B194)),ISNUMBER(SEARCH("bulgare",B194)),ISNUMBER(SEARCH("biélorusse",B194)),ISNUMBER(SEARCH("maltais",B194))),"Autres pays d'Europe",IF(OR(ISNUMBER(SEARCH("américain",B194)),ISNUMBER(SEARCH("mexicain",B194)),ISNUMBER(SEARCH("canadien",B194)),ISNUMBER(SEARCH("brésilien",B194)),ISNUMBER(SEARCH("argentin",B194))),"Amérique",IF(OR(ISNUMBER(SEARCH("chinois",B194)),ISNUMBER(SEARCH("japonais",B194)),ISNUMBER(SEARCH("coréen",B194)),ISNUMBER(SEARCH("indien",B194)),ISNUMBER(SEARCH("persan",B194)),ISNUMBER(SEARCH("iranien",B194))),"Asie","(non classée)"))))</f>
        <v/>
      </c>
    </row>
    <row r="195">
      <c r="A195" s="2" t="inlineStr">
        <is>
          <t>EDGARD DEGAS</t>
        </is>
      </c>
      <c r="B195" s="2" t="inlineStr">
        <is>
          <t>française</t>
        </is>
      </c>
      <c r="C195" s="2" t="inlineStr">
        <is>
          <t>sculpture</t>
        </is>
      </c>
      <c r="D195" s="2" t="inlineStr">
        <is>
          <t>19e</t>
        </is>
      </c>
      <c r="U195">
        <f>IF(ISNUMBER(SEARCH("fran",B195)),"France",IF(OR(ISNUMBER(SEARCH("italien",B195)),ISNUMBER(SEARCH("espagn",B195)),ISNUMBER(SEARCH("catalan",B195)),ISNUMBER(SEARCH("flamand",B195)),ISNUMBER(SEARCH("belge",B195)),ISNUMBER(SEARCH("hollandais",B195)),ISNUMBER(SEARCH("néerlandais",B195)),ISNUMBER(SEARCH("allemand",B195)),ISNUMBER(SEARCH("autrichien",B195)),ISNUMBER(SEARCH("suisse",B195)),ISNUMBER(SEARCH("anglais",B195)),ISNUMBER(SEARCH("britannique",B195)),ISNUMBER(SEARCH("écossais",B195)),ISNUMBER(SEARCH("irlandais",B195)),ISNUMBER(SEARCH("russe",B195)),ISNUMBER(SEARCH("portugais",B195)),ISNUMBER(SEARCH("danois",B195)),ISNUMBER(SEARCH("norvégien",B195)),ISNUMBER(SEARCH("suédois",B195)),ISNUMBER(SEARCH("finlandais",B195)),ISNUMBER(SEARCH("polonais",B195)),ISNUMBER(SEARCH("tchèque",B195)),ISNUMBER(SEARCH("hongrois",B195)),ISNUMBER(SEARCH("grec",B195)),ISNUMBER(SEARCH("byzantin",B195)),ISNUMBER(SEARCH("croate",B195)),ISNUMBER(SEARCH("ukrainien",B195)),ISNUMBER(SEARCH("bulgare",B195)),ISNUMBER(SEARCH("biélorusse",B195)),ISNUMBER(SEARCH("maltais",B195))),"Autres pays d'Europe",IF(OR(ISNUMBER(SEARCH("américain",B195)),ISNUMBER(SEARCH("mexicain",B195)),ISNUMBER(SEARCH("canadien",B195)),ISNUMBER(SEARCH("brésilien",B195)),ISNUMBER(SEARCH("argentin",B195))),"Amérique",IF(OR(ISNUMBER(SEARCH("chinois",B195)),ISNUMBER(SEARCH("japonais",B195)),ISNUMBER(SEARCH("coréen",B195)),ISNUMBER(SEARCH("indien",B195)),ISNUMBER(SEARCH("persan",B195)),ISNUMBER(SEARCH("iranien",B195))),"Asie","(non classée)"))))</f>
        <v/>
      </c>
    </row>
    <row r="196">
      <c r="A196" s="2" t="inlineStr">
        <is>
          <t>EDME BOUCHARDON</t>
        </is>
      </c>
      <c r="B196" s="2" t="inlineStr">
        <is>
          <t>française</t>
        </is>
      </c>
      <c r="C196" s="2" t="inlineStr">
        <is>
          <t>sculpture</t>
        </is>
      </c>
      <c r="D196" s="2" t="inlineStr">
        <is>
          <t>18e</t>
        </is>
      </c>
      <c r="U196">
        <f>IF(ISNUMBER(SEARCH("fran",B196)),"France",IF(OR(ISNUMBER(SEARCH("italien",B196)),ISNUMBER(SEARCH("espagn",B196)),ISNUMBER(SEARCH("catalan",B196)),ISNUMBER(SEARCH("flamand",B196)),ISNUMBER(SEARCH("belge",B196)),ISNUMBER(SEARCH("hollandais",B196)),ISNUMBER(SEARCH("néerlandais",B196)),ISNUMBER(SEARCH("allemand",B196)),ISNUMBER(SEARCH("autrichien",B196)),ISNUMBER(SEARCH("suisse",B196)),ISNUMBER(SEARCH("anglais",B196)),ISNUMBER(SEARCH("britannique",B196)),ISNUMBER(SEARCH("écossais",B196)),ISNUMBER(SEARCH("irlandais",B196)),ISNUMBER(SEARCH("russe",B196)),ISNUMBER(SEARCH("portugais",B196)),ISNUMBER(SEARCH("danois",B196)),ISNUMBER(SEARCH("norvégien",B196)),ISNUMBER(SEARCH("suédois",B196)),ISNUMBER(SEARCH("finlandais",B196)),ISNUMBER(SEARCH("polonais",B196)),ISNUMBER(SEARCH("tchèque",B196)),ISNUMBER(SEARCH("hongrois",B196)),ISNUMBER(SEARCH("grec",B196)),ISNUMBER(SEARCH("byzantin",B196)),ISNUMBER(SEARCH("croate",B196)),ISNUMBER(SEARCH("ukrainien",B196)),ISNUMBER(SEARCH("bulgare",B196)),ISNUMBER(SEARCH("biélorusse",B196)),ISNUMBER(SEARCH("maltais",B196))),"Autres pays d'Europe",IF(OR(ISNUMBER(SEARCH("américain",B196)),ISNUMBER(SEARCH("mexicain",B196)),ISNUMBER(SEARCH("canadien",B196)),ISNUMBER(SEARCH("brésilien",B196)),ISNUMBER(SEARCH("argentin",B196))),"Amérique",IF(OR(ISNUMBER(SEARCH("chinois",B196)),ISNUMBER(SEARCH("japonais",B196)),ISNUMBER(SEARCH("coréen",B196)),ISNUMBER(SEARCH("indien",B196)),ISNUMBER(SEARCH("persan",B196)),ISNUMBER(SEARCH("iranien",B196))),"Asie","(non classée)"))))</f>
        <v/>
      </c>
    </row>
    <row r="197">
      <c r="A197" s="2" t="inlineStr">
        <is>
          <t>EDMONIA LEWIS</t>
        </is>
      </c>
      <c r="B197" s="2" t="inlineStr">
        <is>
          <t>américaine</t>
        </is>
      </c>
      <c r="C197" s="2" t="inlineStr">
        <is>
          <t>sculpture</t>
        </is>
      </c>
      <c r="D197" s="2" t="inlineStr">
        <is>
          <t>19e</t>
        </is>
      </c>
      <c r="U197">
        <f>IF(ISNUMBER(SEARCH("fran",B197)),"France",IF(OR(ISNUMBER(SEARCH("italien",B197)),ISNUMBER(SEARCH("espagn",B197)),ISNUMBER(SEARCH("catalan",B197)),ISNUMBER(SEARCH("flamand",B197)),ISNUMBER(SEARCH("belge",B197)),ISNUMBER(SEARCH("hollandais",B197)),ISNUMBER(SEARCH("néerlandais",B197)),ISNUMBER(SEARCH("allemand",B197)),ISNUMBER(SEARCH("autrichien",B197)),ISNUMBER(SEARCH("suisse",B197)),ISNUMBER(SEARCH("anglais",B197)),ISNUMBER(SEARCH("britannique",B197)),ISNUMBER(SEARCH("écossais",B197)),ISNUMBER(SEARCH("irlandais",B197)),ISNUMBER(SEARCH("russe",B197)),ISNUMBER(SEARCH("portugais",B197)),ISNUMBER(SEARCH("danois",B197)),ISNUMBER(SEARCH("norvégien",B197)),ISNUMBER(SEARCH("suédois",B197)),ISNUMBER(SEARCH("finlandais",B197)),ISNUMBER(SEARCH("polonais",B197)),ISNUMBER(SEARCH("tchèque",B197)),ISNUMBER(SEARCH("hongrois",B197)),ISNUMBER(SEARCH("grec",B197)),ISNUMBER(SEARCH("byzantin",B197)),ISNUMBER(SEARCH("croate",B197)),ISNUMBER(SEARCH("ukrainien",B197)),ISNUMBER(SEARCH("bulgare",B197)),ISNUMBER(SEARCH("biélorusse",B197)),ISNUMBER(SEARCH("maltais",B197))),"Autres pays d'Europe",IF(OR(ISNUMBER(SEARCH("américain",B197)),ISNUMBER(SEARCH("mexicain",B197)),ISNUMBER(SEARCH("canadien",B197)),ISNUMBER(SEARCH("brésilien",B197)),ISNUMBER(SEARCH("argentin",B197))),"Amérique",IF(OR(ISNUMBER(SEARCH("chinois",B197)),ISNUMBER(SEARCH("japonais",B197)),ISNUMBER(SEARCH("coréen",B197)),ISNUMBER(SEARCH("indien",B197)),ISNUMBER(SEARCH("persan",B197)),ISNUMBER(SEARCH("iranien",B197))),"Asie","(non classée)"))))</f>
        <v/>
      </c>
    </row>
    <row r="198">
      <c r="A198" s="2" t="inlineStr">
        <is>
          <t>EDVARD MUNCH</t>
        </is>
      </c>
      <c r="B198" s="2" t="inlineStr">
        <is>
          <t>norvégienne</t>
        </is>
      </c>
      <c r="C198" s="2" t="inlineStr">
        <is>
          <t>peinture</t>
        </is>
      </c>
      <c r="D198" s="2" t="inlineStr">
        <is>
          <t>20e</t>
        </is>
      </c>
      <c r="U198">
        <f>IF(ISNUMBER(SEARCH("fran",B198)),"France",IF(OR(ISNUMBER(SEARCH("italien",B198)),ISNUMBER(SEARCH("espagn",B198)),ISNUMBER(SEARCH("catalan",B198)),ISNUMBER(SEARCH("flamand",B198)),ISNUMBER(SEARCH("belge",B198)),ISNUMBER(SEARCH("hollandais",B198)),ISNUMBER(SEARCH("néerlandais",B198)),ISNUMBER(SEARCH("allemand",B198)),ISNUMBER(SEARCH("autrichien",B198)),ISNUMBER(SEARCH("suisse",B198)),ISNUMBER(SEARCH("anglais",B198)),ISNUMBER(SEARCH("britannique",B198)),ISNUMBER(SEARCH("écossais",B198)),ISNUMBER(SEARCH("irlandais",B198)),ISNUMBER(SEARCH("russe",B198)),ISNUMBER(SEARCH("portugais",B198)),ISNUMBER(SEARCH("danois",B198)),ISNUMBER(SEARCH("norvégien",B198)),ISNUMBER(SEARCH("suédois",B198)),ISNUMBER(SEARCH("finlandais",B198)),ISNUMBER(SEARCH("polonais",B198)),ISNUMBER(SEARCH("tchèque",B198)),ISNUMBER(SEARCH("hongrois",B198)),ISNUMBER(SEARCH("grec",B198)),ISNUMBER(SEARCH("byzantin",B198)),ISNUMBER(SEARCH("croate",B198)),ISNUMBER(SEARCH("ukrainien",B198)),ISNUMBER(SEARCH("bulgare",B198)),ISNUMBER(SEARCH("biélorusse",B198)),ISNUMBER(SEARCH("maltais",B198))),"Autres pays d'Europe",IF(OR(ISNUMBER(SEARCH("américain",B198)),ISNUMBER(SEARCH("mexicain",B198)),ISNUMBER(SEARCH("canadien",B198)),ISNUMBER(SEARCH("brésilien",B198)),ISNUMBER(SEARCH("argentin",B198))),"Amérique",IF(OR(ISNUMBER(SEARCH("chinois",B198)),ISNUMBER(SEARCH("japonais",B198)),ISNUMBER(SEARCH("coréen",B198)),ISNUMBER(SEARCH("indien",B198)),ISNUMBER(SEARCH("persan",B198)),ISNUMBER(SEARCH("iranien",B198))),"Asie","(non classée)"))))</f>
        <v/>
      </c>
    </row>
    <row r="199">
      <c r="A199" s="2" t="inlineStr">
        <is>
          <t>EDVARD MUNCH</t>
        </is>
      </c>
      <c r="B199" s="2" t="inlineStr">
        <is>
          <t>norvégienne</t>
        </is>
      </c>
      <c r="C199" s="2" t="inlineStr">
        <is>
          <t>peinture</t>
        </is>
      </c>
      <c r="D199" s="2" t="inlineStr">
        <is>
          <t>19e</t>
        </is>
      </c>
      <c r="U199">
        <f>IF(ISNUMBER(SEARCH("fran",B199)),"France",IF(OR(ISNUMBER(SEARCH("italien",B199)),ISNUMBER(SEARCH("espagn",B199)),ISNUMBER(SEARCH("catalan",B199)),ISNUMBER(SEARCH("flamand",B199)),ISNUMBER(SEARCH("belge",B199)),ISNUMBER(SEARCH("hollandais",B199)),ISNUMBER(SEARCH("néerlandais",B199)),ISNUMBER(SEARCH("allemand",B199)),ISNUMBER(SEARCH("autrichien",B199)),ISNUMBER(SEARCH("suisse",B199)),ISNUMBER(SEARCH("anglais",B199)),ISNUMBER(SEARCH("britannique",B199)),ISNUMBER(SEARCH("écossais",B199)),ISNUMBER(SEARCH("irlandais",B199)),ISNUMBER(SEARCH("russe",B199)),ISNUMBER(SEARCH("portugais",B199)),ISNUMBER(SEARCH("danois",B199)),ISNUMBER(SEARCH("norvégien",B199)),ISNUMBER(SEARCH("suédois",B199)),ISNUMBER(SEARCH("finlandais",B199)),ISNUMBER(SEARCH("polonais",B199)),ISNUMBER(SEARCH("tchèque",B199)),ISNUMBER(SEARCH("hongrois",B199)),ISNUMBER(SEARCH("grec",B199)),ISNUMBER(SEARCH("byzantin",B199)),ISNUMBER(SEARCH("croate",B199)),ISNUMBER(SEARCH("ukrainien",B199)),ISNUMBER(SEARCH("bulgare",B199)),ISNUMBER(SEARCH("biélorusse",B199)),ISNUMBER(SEARCH("maltais",B199))),"Autres pays d'Europe",IF(OR(ISNUMBER(SEARCH("américain",B199)),ISNUMBER(SEARCH("mexicain",B199)),ISNUMBER(SEARCH("canadien",B199)),ISNUMBER(SEARCH("brésilien",B199)),ISNUMBER(SEARCH("argentin",B199))),"Amérique",IF(OR(ISNUMBER(SEARCH("chinois",B199)),ISNUMBER(SEARCH("japonais",B199)),ISNUMBER(SEARCH("coréen",B199)),ISNUMBER(SEARCH("indien",B199)),ISNUMBER(SEARCH("persan",B199)),ISNUMBER(SEARCH("iranien",B199))),"Asie","(non classée)"))))</f>
        <v/>
      </c>
    </row>
    <row r="200">
      <c r="A200" s="2" t="inlineStr">
        <is>
          <t>EDWARD BURNE-JONES</t>
        </is>
      </c>
      <c r="B200" s="2" t="inlineStr">
        <is>
          <t>anglaise (Royaume-Uni)</t>
        </is>
      </c>
      <c r="C200" s="2" t="inlineStr">
        <is>
          <t>peinture</t>
        </is>
      </c>
      <c r="D200" s="2" t="inlineStr">
        <is>
          <t>19e</t>
        </is>
      </c>
      <c r="U200">
        <f>IF(ISNUMBER(SEARCH("fran",B200)),"France",IF(OR(ISNUMBER(SEARCH("italien",B200)),ISNUMBER(SEARCH("espagn",B200)),ISNUMBER(SEARCH("catalan",B200)),ISNUMBER(SEARCH("flamand",B200)),ISNUMBER(SEARCH("belge",B200)),ISNUMBER(SEARCH("hollandais",B200)),ISNUMBER(SEARCH("néerlandais",B200)),ISNUMBER(SEARCH("allemand",B200)),ISNUMBER(SEARCH("autrichien",B200)),ISNUMBER(SEARCH("suisse",B200)),ISNUMBER(SEARCH("anglais",B200)),ISNUMBER(SEARCH("britannique",B200)),ISNUMBER(SEARCH("écossais",B200)),ISNUMBER(SEARCH("irlandais",B200)),ISNUMBER(SEARCH("russe",B200)),ISNUMBER(SEARCH("portugais",B200)),ISNUMBER(SEARCH("danois",B200)),ISNUMBER(SEARCH("norvégien",B200)),ISNUMBER(SEARCH("suédois",B200)),ISNUMBER(SEARCH("finlandais",B200)),ISNUMBER(SEARCH("polonais",B200)),ISNUMBER(SEARCH("tchèque",B200)),ISNUMBER(SEARCH("hongrois",B200)),ISNUMBER(SEARCH("grec",B200)),ISNUMBER(SEARCH("byzantin",B200)),ISNUMBER(SEARCH("croate",B200)),ISNUMBER(SEARCH("ukrainien",B200)),ISNUMBER(SEARCH("bulgare",B200)),ISNUMBER(SEARCH("biélorusse",B200)),ISNUMBER(SEARCH("maltais",B200))),"Autres pays d'Europe",IF(OR(ISNUMBER(SEARCH("américain",B200)),ISNUMBER(SEARCH("mexicain",B200)),ISNUMBER(SEARCH("canadien",B200)),ISNUMBER(SEARCH("brésilien",B200)),ISNUMBER(SEARCH("argentin",B200))),"Amérique",IF(OR(ISNUMBER(SEARCH("chinois",B200)),ISNUMBER(SEARCH("japonais",B200)),ISNUMBER(SEARCH("coréen",B200)),ISNUMBER(SEARCH("indien",B200)),ISNUMBER(SEARCH("persan",B200)),ISNUMBER(SEARCH("iranien",B200))),"Asie","(non classée)"))))</f>
        <v/>
      </c>
    </row>
    <row r="201">
      <c r="A201" s="2" t="inlineStr">
        <is>
          <t>EGID QUIRIN ASAM</t>
        </is>
      </c>
      <c r="B201" s="2" t="inlineStr">
        <is>
          <t>allemande</t>
        </is>
      </c>
      <c r="C201" s="2" t="inlineStr">
        <is>
          <t>sculpture</t>
        </is>
      </c>
      <c r="D201" s="2" t="inlineStr">
        <is>
          <t>18e</t>
        </is>
      </c>
      <c r="U201">
        <f>IF(ISNUMBER(SEARCH("fran",B201)),"France",IF(OR(ISNUMBER(SEARCH("italien",B201)),ISNUMBER(SEARCH("espagn",B201)),ISNUMBER(SEARCH("catalan",B201)),ISNUMBER(SEARCH("flamand",B201)),ISNUMBER(SEARCH("belge",B201)),ISNUMBER(SEARCH("hollandais",B201)),ISNUMBER(SEARCH("néerlandais",B201)),ISNUMBER(SEARCH("allemand",B201)),ISNUMBER(SEARCH("autrichien",B201)),ISNUMBER(SEARCH("suisse",B201)),ISNUMBER(SEARCH("anglais",B201)),ISNUMBER(SEARCH("britannique",B201)),ISNUMBER(SEARCH("écossais",B201)),ISNUMBER(SEARCH("irlandais",B201)),ISNUMBER(SEARCH("russe",B201)),ISNUMBER(SEARCH("portugais",B201)),ISNUMBER(SEARCH("danois",B201)),ISNUMBER(SEARCH("norvégien",B201)),ISNUMBER(SEARCH("suédois",B201)),ISNUMBER(SEARCH("finlandais",B201)),ISNUMBER(SEARCH("polonais",B201)),ISNUMBER(SEARCH("tchèque",B201)),ISNUMBER(SEARCH("hongrois",B201)),ISNUMBER(SEARCH("grec",B201)),ISNUMBER(SEARCH("byzantin",B201)),ISNUMBER(SEARCH("croate",B201)),ISNUMBER(SEARCH("ukrainien",B201)),ISNUMBER(SEARCH("bulgare",B201)),ISNUMBER(SEARCH("biélorusse",B201)),ISNUMBER(SEARCH("maltais",B201))),"Autres pays d'Europe",IF(OR(ISNUMBER(SEARCH("américain",B201)),ISNUMBER(SEARCH("mexicain",B201)),ISNUMBER(SEARCH("canadien",B201)),ISNUMBER(SEARCH("brésilien",B201)),ISNUMBER(SEARCH("argentin",B201))),"Amérique",IF(OR(ISNUMBER(SEARCH("chinois",B201)),ISNUMBER(SEARCH("japonais",B201)),ISNUMBER(SEARCH("coréen",B201)),ISNUMBER(SEARCH("indien",B201)),ISNUMBER(SEARCH("persan",B201)),ISNUMBER(SEARCH("iranien",B201))),"Asie","(non classée)"))))</f>
        <v/>
      </c>
    </row>
    <row r="202">
      <c r="A202" s="2" t="inlineStr">
        <is>
          <t>EGON SCHIELE</t>
        </is>
      </c>
      <c r="B202" s="2" t="inlineStr">
        <is>
          <t>autrichienne</t>
        </is>
      </c>
      <c r="C202" s="2" t="inlineStr">
        <is>
          <t>peinture</t>
        </is>
      </c>
      <c r="D202" s="2" t="inlineStr">
        <is>
          <t>20e</t>
        </is>
      </c>
      <c r="U202">
        <f>IF(ISNUMBER(SEARCH("fran",B202)),"France",IF(OR(ISNUMBER(SEARCH("italien",B202)),ISNUMBER(SEARCH("espagn",B202)),ISNUMBER(SEARCH("catalan",B202)),ISNUMBER(SEARCH("flamand",B202)),ISNUMBER(SEARCH("belge",B202)),ISNUMBER(SEARCH("hollandais",B202)),ISNUMBER(SEARCH("néerlandais",B202)),ISNUMBER(SEARCH("allemand",B202)),ISNUMBER(SEARCH("autrichien",B202)),ISNUMBER(SEARCH("suisse",B202)),ISNUMBER(SEARCH("anglais",B202)),ISNUMBER(SEARCH("britannique",B202)),ISNUMBER(SEARCH("écossais",B202)),ISNUMBER(SEARCH("irlandais",B202)),ISNUMBER(SEARCH("russe",B202)),ISNUMBER(SEARCH("portugais",B202)),ISNUMBER(SEARCH("danois",B202)),ISNUMBER(SEARCH("norvégien",B202)),ISNUMBER(SEARCH("suédois",B202)),ISNUMBER(SEARCH("finlandais",B202)),ISNUMBER(SEARCH("polonais",B202)),ISNUMBER(SEARCH("tchèque",B202)),ISNUMBER(SEARCH("hongrois",B202)),ISNUMBER(SEARCH("grec",B202)),ISNUMBER(SEARCH("byzantin",B202)),ISNUMBER(SEARCH("croate",B202)),ISNUMBER(SEARCH("ukrainien",B202)),ISNUMBER(SEARCH("bulgare",B202)),ISNUMBER(SEARCH("biélorusse",B202)),ISNUMBER(SEARCH("maltais",B202))),"Autres pays d'Europe",IF(OR(ISNUMBER(SEARCH("américain",B202)),ISNUMBER(SEARCH("mexicain",B202)),ISNUMBER(SEARCH("canadien",B202)),ISNUMBER(SEARCH("brésilien",B202)),ISNUMBER(SEARCH("argentin",B202))),"Amérique",IF(OR(ISNUMBER(SEARCH("chinois",B202)),ISNUMBER(SEARCH("japonais",B202)),ISNUMBER(SEARCH("coréen",B202)),ISNUMBER(SEARCH("indien",B202)),ISNUMBER(SEARCH("persan",B202)),ISNUMBER(SEARCH("iranien",B202))),"Asie","(non classée)"))))</f>
        <v/>
      </c>
    </row>
    <row r="203">
      <c r="A203" s="2" t="inlineStr">
        <is>
          <t>EMIL FILLA</t>
        </is>
      </c>
      <c r="B203" s="2" t="inlineStr">
        <is>
          <t>tchèque</t>
        </is>
      </c>
      <c r="C203" s="2" t="inlineStr">
        <is>
          <t>peinture</t>
        </is>
      </c>
      <c r="D203" s="2" t="inlineStr">
        <is>
          <t>20e</t>
        </is>
      </c>
      <c r="U203">
        <f>IF(ISNUMBER(SEARCH("fran",B203)),"France",IF(OR(ISNUMBER(SEARCH("italien",B203)),ISNUMBER(SEARCH("espagn",B203)),ISNUMBER(SEARCH("catalan",B203)),ISNUMBER(SEARCH("flamand",B203)),ISNUMBER(SEARCH("belge",B203)),ISNUMBER(SEARCH("hollandais",B203)),ISNUMBER(SEARCH("néerlandais",B203)),ISNUMBER(SEARCH("allemand",B203)),ISNUMBER(SEARCH("autrichien",B203)),ISNUMBER(SEARCH("suisse",B203)),ISNUMBER(SEARCH("anglais",B203)),ISNUMBER(SEARCH("britannique",B203)),ISNUMBER(SEARCH("écossais",B203)),ISNUMBER(SEARCH("irlandais",B203)),ISNUMBER(SEARCH("russe",B203)),ISNUMBER(SEARCH("portugais",B203)),ISNUMBER(SEARCH("danois",B203)),ISNUMBER(SEARCH("norvégien",B203)),ISNUMBER(SEARCH("suédois",B203)),ISNUMBER(SEARCH("finlandais",B203)),ISNUMBER(SEARCH("polonais",B203)),ISNUMBER(SEARCH("tchèque",B203)),ISNUMBER(SEARCH("hongrois",B203)),ISNUMBER(SEARCH("grec",B203)),ISNUMBER(SEARCH("byzantin",B203)),ISNUMBER(SEARCH("croate",B203)),ISNUMBER(SEARCH("ukrainien",B203)),ISNUMBER(SEARCH("bulgare",B203)),ISNUMBER(SEARCH("biélorusse",B203)),ISNUMBER(SEARCH("maltais",B203))),"Autres pays d'Europe",IF(OR(ISNUMBER(SEARCH("américain",B203)),ISNUMBER(SEARCH("mexicain",B203)),ISNUMBER(SEARCH("canadien",B203)),ISNUMBER(SEARCH("brésilien",B203)),ISNUMBER(SEARCH("argentin",B203))),"Amérique",IF(OR(ISNUMBER(SEARCH("chinois",B203)),ISNUMBER(SEARCH("japonais",B203)),ISNUMBER(SEARCH("coréen",B203)),ISNUMBER(SEARCH("indien",B203)),ISNUMBER(SEARCH("persan",B203)),ISNUMBER(SEARCH("iranien",B203))),"Asie","(non classée)"))))</f>
        <v/>
      </c>
    </row>
    <row r="204">
      <c r="A204" s="2" t="inlineStr">
        <is>
          <t>EMILE BERNARD</t>
        </is>
      </c>
      <c r="B204" s="2" t="inlineStr">
        <is>
          <t>française</t>
        </is>
      </c>
      <c r="C204" s="2" t="inlineStr">
        <is>
          <t>peinture</t>
        </is>
      </c>
      <c r="D204" s="2" t="inlineStr">
        <is>
          <t>19e</t>
        </is>
      </c>
      <c r="U204">
        <f>IF(ISNUMBER(SEARCH("fran",B204)),"France",IF(OR(ISNUMBER(SEARCH("italien",B204)),ISNUMBER(SEARCH("espagn",B204)),ISNUMBER(SEARCH("catalan",B204)),ISNUMBER(SEARCH("flamand",B204)),ISNUMBER(SEARCH("belge",B204)),ISNUMBER(SEARCH("hollandais",B204)),ISNUMBER(SEARCH("néerlandais",B204)),ISNUMBER(SEARCH("allemand",B204)),ISNUMBER(SEARCH("autrichien",B204)),ISNUMBER(SEARCH("suisse",B204)),ISNUMBER(SEARCH("anglais",B204)),ISNUMBER(SEARCH("britannique",B204)),ISNUMBER(SEARCH("écossais",B204)),ISNUMBER(SEARCH("irlandais",B204)),ISNUMBER(SEARCH("russe",B204)),ISNUMBER(SEARCH("portugais",B204)),ISNUMBER(SEARCH("danois",B204)),ISNUMBER(SEARCH("norvégien",B204)),ISNUMBER(SEARCH("suédois",B204)),ISNUMBER(SEARCH("finlandais",B204)),ISNUMBER(SEARCH("polonais",B204)),ISNUMBER(SEARCH("tchèque",B204)),ISNUMBER(SEARCH("hongrois",B204)),ISNUMBER(SEARCH("grec",B204)),ISNUMBER(SEARCH("byzantin",B204)),ISNUMBER(SEARCH("croate",B204)),ISNUMBER(SEARCH("ukrainien",B204)),ISNUMBER(SEARCH("bulgare",B204)),ISNUMBER(SEARCH("biélorusse",B204)),ISNUMBER(SEARCH("maltais",B204))),"Autres pays d'Europe",IF(OR(ISNUMBER(SEARCH("américain",B204)),ISNUMBER(SEARCH("mexicain",B204)),ISNUMBER(SEARCH("canadien",B204)),ISNUMBER(SEARCH("brésilien",B204)),ISNUMBER(SEARCH("argentin",B204))),"Amérique",IF(OR(ISNUMBER(SEARCH("chinois",B204)),ISNUMBER(SEARCH("japonais",B204)),ISNUMBER(SEARCH("coréen",B204)),ISNUMBER(SEARCH("indien",B204)),ISNUMBER(SEARCH("persan",B204)),ISNUMBER(SEARCH("iranien",B204))),"Asie","(non classée)"))))</f>
        <v/>
      </c>
    </row>
    <row r="205">
      <c r="A205" s="2" t="inlineStr">
        <is>
          <t>EMMANUEL FRÉMIET</t>
        </is>
      </c>
      <c r="B205" s="2" t="inlineStr">
        <is>
          <t>française</t>
        </is>
      </c>
      <c r="C205" s="2" t="inlineStr">
        <is>
          <t>sculpture</t>
        </is>
      </c>
      <c r="D205" s="2" t="inlineStr">
        <is>
          <t>19e</t>
        </is>
      </c>
      <c r="U205">
        <f>IF(ISNUMBER(SEARCH("fran",B205)),"France",IF(OR(ISNUMBER(SEARCH("italien",B205)),ISNUMBER(SEARCH("espagn",B205)),ISNUMBER(SEARCH("catalan",B205)),ISNUMBER(SEARCH("flamand",B205)),ISNUMBER(SEARCH("belge",B205)),ISNUMBER(SEARCH("hollandais",B205)),ISNUMBER(SEARCH("néerlandais",B205)),ISNUMBER(SEARCH("allemand",B205)),ISNUMBER(SEARCH("autrichien",B205)),ISNUMBER(SEARCH("suisse",B205)),ISNUMBER(SEARCH("anglais",B205)),ISNUMBER(SEARCH("britannique",B205)),ISNUMBER(SEARCH("écossais",B205)),ISNUMBER(SEARCH("irlandais",B205)),ISNUMBER(SEARCH("russe",B205)),ISNUMBER(SEARCH("portugais",B205)),ISNUMBER(SEARCH("danois",B205)),ISNUMBER(SEARCH("norvégien",B205)),ISNUMBER(SEARCH("suédois",B205)),ISNUMBER(SEARCH("finlandais",B205)),ISNUMBER(SEARCH("polonais",B205)),ISNUMBER(SEARCH("tchèque",B205)),ISNUMBER(SEARCH("hongrois",B205)),ISNUMBER(SEARCH("grec",B205)),ISNUMBER(SEARCH("byzantin",B205)),ISNUMBER(SEARCH("croate",B205)),ISNUMBER(SEARCH("ukrainien",B205)),ISNUMBER(SEARCH("bulgare",B205)),ISNUMBER(SEARCH("biélorusse",B205)),ISNUMBER(SEARCH("maltais",B205))),"Autres pays d'Europe",IF(OR(ISNUMBER(SEARCH("américain",B205)),ISNUMBER(SEARCH("mexicain",B205)),ISNUMBER(SEARCH("canadien",B205)),ISNUMBER(SEARCH("brésilien",B205)),ISNUMBER(SEARCH("argentin",B205))),"Amérique",IF(OR(ISNUMBER(SEARCH("chinois",B205)),ISNUMBER(SEARCH("japonais",B205)),ISNUMBER(SEARCH("coréen",B205)),ISNUMBER(SEARCH("indien",B205)),ISNUMBER(SEARCH("persan",B205)),ISNUMBER(SEARCH("iranien",B205))),"Asie","(non classée)"))))</f>
        <v/>
      </c>
    </row>
    <row r="206">
      <c r="A206" s="2" t="inlineStr">
        <is>
          <t>ENGUERRAND QUARTON</t>
        </is>
      </c>
      <c r="B206" s="2" t="inlineStr">
        <is>
          <t>française</t>
        </is>
      </c>
      <c r="C206" s="2" t="inlineStr">
        <is>
          <t>peinture</t>
        </is>
      </c>
      <c r="D206" s="2" t="inlineStr">
        <is>
          <t>15e</t>
        </is>
      </c>
      <c r="U206">
        <f>IF(ISNUMBER(SEARCH("fran",B206)),"France",IF(OR(ISNUMBER(SEARCH("italien",B206)),ISNUMBER(SEARCH("espagn",B206)),ISNUMBER(SEARCH("catalan",B206)),ISNUMBER(SEARCH("flamand",B206)),ISNUMBER(SEARCH("belge",B206)),ISNUMBER(SEARCH("hollandais",B206)),ISNUMBER(SEARCH("néerlandais",B206)),ISNUMBER(SEARCH("allemand",B206)),ISNUMBER(SEARCH("autrichien",B206)),ISNUMBER(SEARCH("suisse",B206)),ISNUMBER(SEARCH("anglais",B206)),ISNUMBER(SEARCH("britannique",B206)),ISNUMBER(SEARCH("écossais",B206)),ISNUMBER(SEARCH("irlandais",B206)),ISNUMBER(SEARCH("russe",B206)),ISNUMBER(SEARCH("portugais",B206)),ISNUMBER(SEARCH("danois",B206)),ISNUMBER(SEARCH("norvégien",B206)),ISNUMBER(SEARCH("suédois",B206)),ISNUMBER(SEARCH("finlandais",B206)),ISNUMBER(SEARCH("polonais",B206)),ISNUMBER(SEARCH("tchèque",B206)),ISNUMBER(SEARCH("hongrois",B206)),ISNUMBER(SEARCH("grec",B206)),ISNUMBER(SEARCH("byzantin",B206)),ISNUMBER(SEARCH("croate",B206)),ISNUMBER(SEARCH("ukrainien",B206)),ISNUMBER(SEARCH("bulgare",B206)),ISNUMBER(SEARCH("biélorusse",B206)),ISNUMBER(SEARCH("maltais",B206))),"Autres pays d'Europe",IF(OR(ISNUMBER(SEARCH("américain",B206)),ISNUMBER(SEARCH("mexicain",B206)),ISNUMBER(SEARCH("canadien",B206)),ISNUMBER(SEARCH("brésilien",B206)),ISNUMBER(SEARCH("argentin",B206))),"Amérique",IF(OR(ISNUMBER(SEARCH("chinois",B206)),ISNUMBER(SEARCH("japonais",B206)),ISNUMBER(SEARCH("coréen",B206)),ISNUMBER(SEARCH("indien",B206)),ISNUMBER(SEARCH("persan",B206)),ISNUMBER(SEARCH("iranien",B206))),"Asie","(non classée)"))))</f>
        <v/>
      </c>
    </row>
    <row r="207">
      <c r="A207" s="2" t="inlineStr">
        <is>
          <t>ERCOLE FERRATA</t>
        </is>
      </c>
      <c r="B207" s="2" t="inlineStr">
        <is>
          <t>italienne</t>
        </is>
      </c>
      <c r="C207" s="2" t="inlineStr">
        <is>
          <t>sculpture</t>
        </is>
      </c>
      <c r="D207" s="2" t="inlineStr">
        <is>
          <t>17e</t>
        </is>
      </c>
      <c r="U207">
        <f>IF(ISNUMBER(SEARCH("fran",B207)),"France",IF(OR(ISNUMBER(SEARCH("italien",B207)),ISNUMBER(SEARCH("espagn",B207)),ISNUMBER(SEARCH("catalan",B207)),ISNUMBER(SEARCH("flamand",B207)),ISNUMBER(SEARCH("belge",B207)),ISNUMBER(SEARCH("hollandais",B207)),ISNUMBER(SEARCH("néerlandais",B207)),ISNUMBER(SEARCH("allemand",B207)),ISNUMBER(SEARCH("autrichien",B207)),ISNUMBER(SEARCH("suisse",B207)),ISNUMBER(SEARCH("anglais",B207)),ISNUMBER(SEARCH("britannique",B207)),ISNUMBER(SEARCH("écossais",B207)),ISNUMBER(SEARCH("irlandais",B207)),ISNUMBER(SEARCH("russe",B207)),ISNUMBER(SEARCH("portugais",B207)),ISNUMBER(SEARCH("danois",B207)),ISNUMBER(SEARCH("norvégien",B207)),ISNUMBER(SEARCH("suédois",B207)),ISNUMBER(SEARCH("finlandais",B207)),ISNUMBER(SEARCH("polonais",B207)),ISNUMBER(SEARCH("tchèque",B207)),ISNUMBER(SEARCH("hongrois",B207)),ISNUMBER(SEARCH("grec",B207)),ISNUMBER(SEARCH("byzantin",B207)),ISNUMBER(SEARCH("croate",B207)),ISNUMBER(SEARCH("ukrainien",B207)),ISNUMBER(SEARCH("bulgare",B207)),ISNUMBER(SEARCH("biélorusse",B207)),ISNUMBER(SEARCH("maltais",B207))),"Autres pays d'Europe",IF(OR(ISNUMBER(SEARCH("américain",B207)),ISNUMBER(SEARCH("mexicain",B207)),ISNUMBER(SEARCH("canadien",B207)),ISNUMBER(SEARCH("brésilien",B207)),ISNUMBER(SEARCH("argentin",B207))),"Amérique",IF(OR(ISNUMBER(SEARCH("chinois",B207)),ISNUMBER(SEARCH("japonais",B207)),ISNUMBER(SEARCH("coréen",B207)),ISNUMBER(SEARCH("indien",B207)),ISNUMBER(SEARCH("persan",B207)),ISNUMBER(SEARCH("iranien",B207))),"Asie","(non classée)"))))</f>
        <v/>
      </c>
    </row>
    <row r="208">
      <c r="A208" s="2" t="inlineStr">
        <is>
          <t>ERCOLE DE' ROBERTI</t>
        </is>
      </c>
      <c r="B208" s="2" t="inlineStr">
        <is>
          <t>italienne</t>
        </is>
      </c>
      <c r="C208" s="2" t="inlineStr">
        <is>
          <t>peinture</t>
        </is>
      </c>
      <c r="D208" s="2" t="inlineStr">
        <is>
          <t>15e</t>
        </is>
      </c>
      <c r="U208">
        <f>IF(ISNUMBER(SEARCH("fran",B208)),"France",IF(OR(ISNUMBER(SEARCH("italien",B208)),ISNUMBER(SEARCH("espagn",B208)),ISNUMBER(SEARCH("catalan",B208)),ISNUMBER(SEARCH("flamand",B208)),ISNUMBER(SEARCH("belge",B208)),ISNUMBER(SEARCH("hollandais",B208)),ISNUMBER(SEARCH("néerlandais",B208)),ISNUMBER(SEARCH("allemand",B208)),ISNUMBER(SEARCH("autrichien",B208)),ISNUMBER(SEARCH("suisse",B208)),ISNUMBER(SEARCH("anglais",B208)),ISNUMBER(SEARCH("britannique",B208)),ISNUMBER(SEARCH("écossais",B208)),ISNUMBER(SEARCH("irlandais",B208)),ISNUMBER(SEARCH("russe",B208)),ISNUMBER(SEARCH("portugais",B208)),ISNUMBER(SEARCH("danois",B208)),ISNUMBER(SEARCH("norvégien",B208)),ISNUMBER(SEARCH("suédois",B208)),ISNUMBER(SEARCH("finlandais",B208)),ISNUMBER(SEARCH("polonais",B208)),ISNUMBER(SEARCH("tchèque",B208)),ISNUMBER(SEARCH("hongrois",B208)),ISNUMBER(SEARCH("grec",B208)),ISNUMBER(SEARCH("byzantin",B208)),ISNUMBER(SEARCH("croate",B208)),ISNUMBER(SEARCH("ukrainien",B208)),ISNUMBER(SEARCH("bulgare",B208)),ISNUMBER(SEARCH("biélorusse",B208)),ISNUMBER(SEARCH("maltais",B208))),"Autres pays d'Europe",IF(OR(ISNUMBER(SEARCH("américain",B208)),ISNUMBER(SEARCH("mexicain",B208)),ISNUMBER(SEARCH("canadien",B208)),ISNUMBER(SEARCH("brésilien",B208)),ISNUMBER(SEARCH("argentin",B208))),"Amérique",IF(OR(ISNUMBER(SEARCH("chinois",B208)),ISNUMBER(SEARCH("japonais",B208)),ISNUMBER(SEARCH("coréen",B208)),ISNUMBER(SEARCH("indien",B208)),ISNUMBER(SEARCH("persan",B208)),ISNUMBER(SEARCH("iranien",B208))),"Asie","(non classée)"))))</f>
        <v/>
      </c>
    </row>
    <row r="209">
      <c r="A209" s="2" t="inlineStr">
        <is>
          <t>ERIC GILL</t>
        </is>
      </c>
      <c r="B209" s="2" t="inlineStr">
        <is>
          <t>anglaise (Royaume-Uni)</t>
        </is>
      </c>
      <c r="C209" s="2" t="inlineStr">
        <is>
          <t>sculpture</t>
        </is>
      </c>
      <c r="D209" s="2" t="inlineStr">
        <is>
          <t>20e</t>
        </is>
      </c>
      <c r="U209">
        <f>IF(ISNUMBER(SEARCH("fran",B209)),"France",IF(OR(ISNUMBER(SEARCH("italien",B209)),ISNUMBER(SEARCH("espagn",B209)),ISNUMBER(SEARCH("catalan",B209)),ISNUMBER(SEARCH("flamand",B209)),ISNUMBER(SEARCH("belge",B209)),ISNUMBER(SEARCH("hollandais",B209)),ISNUMBER(SEARCH("néerlandais",B209)),ISNUMBER(SEARCH("allemand",B209)),ISNUMBER(SEARCH("autrichien",B209)),ISNUMBER(SEARCH("suisse",B209)),ISNUMBER(SEARCH("anglais",B209)),ISNUMBER(SEARCH("britannique",B209)),ISNUMBER(SEARCH("écossais",B209)),ISNUMBER(SEARCH("irlandais",B209)),ISNUMBER(SEARCH("russe",B209)),ISNUMBER(SEARCH("portugais",B209)),ISNUMBER(SEARCH("danois",B209)),ISNUMBER(SEARCH("norvégien",B209)),ISNUMBER(SEARCH("suédois",B209)),ISNUMBER(SEARCH("finlandais",B209)),ISNUMBER(SEARCH("polonais",B209)),ISNUMBER(SEARCH("tchèque",B209)),ISNUMBER(SEARCH("hongrois",B209)),ISNUMBER(SEARCH("grec",B209)),ISNUMBER(SEARCH("byzantin",B209)),ISNUMBER(SEARCH("croate",B209)),ISNUMBER(SEARCH("ukrainien",B209)),ISNUMBER(SEARCH("bulgare",B209)),ISNUMBER(SEARCH("biélorusse",B209)),ISNUMBER(SEARCH("maltais",B209))),"Autres pays d'Europe",IF(OR(ISNUMBER(SEARCH("américain",B209)),ISNUMBER(SEARCH("mexicain",B209)),ISNUMBER(SEARCH("canadien",B209)),ISNUMBER(SEARCH("brésilien",B209)),ISNUMBER(SEARCH("argentin",B209))),"Amérique",IF(OR(ISNUMBER(SEARCH("chinois",B209)),ISNUMBER(SEARCH("japonais",B209)),ISNUMBER(SEARCH("coréen",B209)),ISNUMBER(SEARCH("indien",B209)),ISNUMBER(SEARCH("persan",B209)),ISNUMBER(SEARCH("iranien",B209))),"Asie","(non classée)"))))</f>
        <v/>
      </c>
    </row>
    <row r="210">
      <c r="A210" s="2" t="inlineStr">
        <is>
          <t>ERNEST CHRISTOPHE</t>
        </is>
      </c>
      <c r="B210" s="2" t="inlineStr">
        <is>
          <t>française</t>
        </is>
      </c>
      <c r="C210" s="2" t="inlineStr">
        <is>
          <t>sculpture</t>
        </is>
      </c>
      <c r="D210" s="2" t="inlineStr">
        <is>
          <t>19e</t>
        </is>
      </c>
      <c r="U210">
        <f>IF(ISNUMBER(SEARCH("fran",B210)),"France",IF(OR(ISNUMBER(SEARCH("italien",B210)),ISNUMBER(SEARCH("espagn",B210)),ISNUMBER(SEARCH("catalan",B210)),ISNUMBER(SEARCH("flamand",B210)),ISNUMBER(SEARCH("belge",B210)),ISNUMBER(SEARCH("hollandais",B210)),ISNUMBER(SEARCH("néerlandais",B210)),ISNUMBER(SEARCH("allemand",B210)),ISNUMBER(SEARCH("autrichien",B210)),ISNUMBER(SEARCH("suisse",B210)),ISNUMBER(SEARCH("anglais",B210)),ISNUMBER(SEARCH("britannique",B210)),ISNUMBER(SEARCH("écossais",B210)),ISNUMBER(SEARCH("irlandais",B210)),ISNUMBER(SEARCH("russe",B210)),ISNUMBER(SEARCH("portugais",B210)),ISNUMBER(SEARCH("danois",B210)),ISNUMBER(SEARCH("norvégien",B210)),ISNUMBER(SEARCH("suédois",B210)),ISNUMBER(SEARCH("finlandais",B210)),ISNUMBER(SEARCH("polonais",B210)),ISNUMBER(SEARCH("tchèque",B210)),ISNUMBER(SEARCH("hongrois",B210)),ISNUMBER(SEARCH("grec",B210)),ISNUMBER(SEARCH("byzantin",B210)),ISNUMBER(SEARCH("croate",B210)),ISNUMBER(SEARCH("ukrainien",B210)),ISNUMBER(SEARCH("bulgare",B210)),ISNUMBER(SEARCH("biélorusse",B210)),ISNUMBER(SEARCH("maltais",B210))),"Autres pays d'Europe",IF(OR(ISNUMBER(SEARCH("américain",B210)),ISNUMBER(SEARCH("mexicain",B210)),ISNUMBER(SEARCH("canadien",B210)),ISNUMBER(SEARCH("brésilien",B210)),ISNUMBER(SEARCH("argentin",B210))),"Amérique",IF(OR(ISNUMBER(SEARCH("chinois",B210)),ISNUMBER(SEARCH("japonais",B210)),ISNUMBER(SEARCH("coréen",B210)),ISNUMBER(SEARCH("indien",B210)),ISNUMBER(SEARCH("persan",B210)),ISNUMBER(SEARCH("iranien",B210))),"Asie","(non classée)"))))</f>
        <v/>
      </c>
    </row>
    <row r="211">
      <c r="A211" s="2" t="inlineStr">
        <is>
          <t>ERNST BARLACH</t>
        </is>
      </c>
      <c r="B211" s="2" t="inlineStr">
        <is>
          <t>allemande</t>
        </is>
      </c>
      <c r="C211" s="2" t="inlineStr">
        <is>
          <t>sculpture</t>
        </is>
      </c>
      <c r="D211" s="2" t="inlineStr">
        <is>
          <t>20e</t>
        </is>
      </c>
      <c r="U211">
        <f>IF(ISNUMBER(SEARCH("fran",B211)),"France",IF(OR(ISNUMBER(SEARCH("italien",B211)),ISNUMBER(SEARCH("espagn",B211)),ISNUMBER(SEARCH("catalan",B211)),ISNUMBER(SEARCH("flamand",B211)),ISNUMBER(SEARCH("belge",B211)),ISNUMBER(SEARCH("hollandais",B211)),ISNUMBER(SEARCH("néerlandais",B211)),ISNUMBER(SEARCH("allemand",B211)),ISNUMBER(SEARCH("autrichien",B211)),ISNUMBER(SEARCH("suisse",B211)),ISNUMBER(SEARCH("anglais",B211)),ISNUMBER(SEARCH("britannique",B211)),ISNUMBER(SEARCH("écossais",B211)),ISNUMBER(SEARCH("irlandais",B211)),ISNUMBER(SEARCH("russe",B211)),ISNUMBER(SEARCH("portugais",B211)),ISNUMBER(SEARCH("danois",B211)),ISNUMBER(SEARCH("norvégien",B211)),ISNUMBER(SEARCH("suédois",B211)),ISNUMBER(SEARCH("finlandais",B211)),ISNUMBER(SEARCH("polonais",B211)),ISNUMBER(SEARCH("tchèque",B211)),ISNUMBER(SEARCH("hongrois",B211)),ISNUMBER(SEARCH("grec",B211)),ISNUMBER(SEARCH("byzantin",B211)),ISNUMBER(SEARCH("croate",B211)),ISNUMBER(SEARCH("ukrainien",B211)),ISNUMBER(SEARCH("bulgare",B211)),ISNUMBER(SEARCH("biélorusse",B211)),ISNUMBER(SEARCH("maltais",B211))),"Autres pays d'Europe",IF(OR(ISNUMBER(SEARCH("américain",B211)),ISNUMBER(SEARCH("mexicain",B211)),ISNUMBER(SEARCH("canadien",B211)),ISNUMBER(SEARCH("brésilien",B211)),ISNUMBER(SEARCH("argentin",B211))),"Amérique",IF(OR(ISNUMBER(SEARCH("chinois",B211)),ISNUMBER(SEARCH("japonais",B211)),ISNUMBER(SEARCH("coréen",B211)),ISNUMBER(SEARCH("indien",B211)),ISNUMBER(SEARCH("persan",B211)),ISNUMBER(SEARCH("iranien",B211))),"Asie","(non classée)"))))</f>
        <v/>
      </c>
    </row>
    <row r="212">
      <c r="A212" s="2" t="inlineStr">
        <is>
          <t>ERNST LUDWIG KIRCHNER</t>
        </is>
      </c>
      <c r="B212" s="2" t="inlineStr">
        <is>
          <t>allemande</t>
        </is>
      </c>
      <c r="C212" s="2" t="inlineStr">
        <is>
          <t>peinture</t>
        </is>
      </c>
      <c r="D212" s="2" t="inlineStr">
        <is>
          <t>20e</t>
        </is>
      </c>
      <c r="U212">
        <f>IF(ISNUMBER(SEARCH("fran",B212)),"France",IF(OR(ISNUMBER(SEARCH("italien",B212)),ISNUMBER(SEARCH("espagn",B212)),ISNUMBER(SEARCH("catalan",B212)),ISNUMBER(SEARCH("flamand",B212)),ISNUMBER(SEARCH("belge",B212)),ISNUMBER(SEARCH("hollandais",B212)),ISNUMBER(SEARCH("néerlandais",B212)),ISNUMBER(SEARCH("allemand",B212)),ISNUMBER(SEARCH("autrichien",B212)),ISNUMBER(SEARCH("suisse",B212)),ISNUMBER(SEARCH("anglais",B212)),ISNUMBER(SEARCH("britannique",B212)),ISNUMBER(SEARCH("écossais",B212)),ISNUMBER(SEARCH("irlandais",B212)),ISNUMBER(SEARCH("russe",B212)),ISNUMBER(SEARCH("portugais",B212)),ISNUMBER(SEARCH("danois",B212)),ISNUMBER(SEARCH("norvégien",B212)),ISNUMBER(SEARCH("suédois",B212)),ISNUMBER(SEARCH("finlandais",B212)),ISNUMBER(SEARCH("polonais",B212)),ISNUMBER(SEARCH("tchèque",B212)),ISNUMBER(SEARCH("hongrois",B212)),ISNUMBER(SEARCH("grec",B212)),ISNUMBER(SEARCH("byzantin",B212)),ISNUMBER(SEARCH("croate",B212)),ISNUMBER(SEARCH("ukrainien",B212)),ISNUMBER(SEARCH("bulgare",B212)),ISNUMBER(SEARCH("biélorusse",B212)),ISNUMBER(SEARCH("maltais",B212))),"Autres pays d'Europe",IF(OR(ISNUMBER(SEARCH("américain",B212)),ISNUMBER(SEARCH("mexicain",B212)),ISNUMBER(SEARCH("canadien",B212)),ISNUMBER(SEARCH("brésilien",B212)),ISNUMBER(SEARCH("argentin",B212))),"Amérique",IF(OR(ISNUMBER(SEARCH("chinois",B212)),ISNUMBER(SEARCH("japonais",B212)),ISNUMBER(SEARCH("coréen",B212)),ISNUMBER(SEARCH("indien",B212)),ISNUMBER(SEARCH("persan",B212)),ISNUMBER(SEARCH("iranien",B212))),"Asie","(non classée)"))))</f>
        <v/>
      </c>
    </row>
    <row r="213">
      <c r="A213" s="2" t="inlineStr">
        <is>
          <t>ERNST RIETSCHEL</t>
        </is>
      </c>
      <c r="B213" s="2" t="inlineStr">
        <is>
          <t>allemande</t>
        </is>
      </c>
      <c r="C213" s="2" t="inlineStr">
        <is>
          <t>sculpture</t>
        </is>
      </c>
      <c r="D213" s="2" t="inlineStr">
        <is>
          <t>19e</t>
        </is>
      </c>
      <c r="U213">
        <f>IF(ISNUMBER(SEARCH("fran",B213)),"France",IF(OR(ISNUMBER(SEARCH("italien",B213)),ISNUMBER(SEARCH("espagn",B213)),ISNUMBER(SEARCH("catalan",B213)),ISNUMBER(SEARCH("flamand",B213)),ISNUMBER(SEARCH("belge",B213)),ISNUMBER(SEARCH("hollandais",B213)),ISNUMBER(SEARCH("néerlandais",B213)),ISNUMBER(SEARCH("allemand",B213)),ISNUMBER(SEARCH("autrichien",B213)),ISNUMBER(SEARCH("suisse",B213)),ISNUMBER(SEARCH("anglais",B213)),ISNUMBER(SEARCH("britannique",B213)),ISNUMBER(SEARCH("écossais",B213)),ISNUMBER(SEARCH("irlandais",B213)),ISNUMBER(SEARCH("russe",B213)),ISNUMBER(SEARCH("portugais",B213)),ISNUMBER(SEARCH("danois",B213)),ISNUMBER(SEARCH("norvégien",B213)),ISNUMBER(SEARCH("suédois",B213)),ISNUMBER(SEARCH("finlandais",B213)),ISNUMBER(SEARCH("polonais",B213)),ISNUMBER(SEARCH("tchèque",B213)),ISNUMBER(SEARCH("hongrois",B213)),ISNUMBER(SEARCH("grec",B213)),ISNUMBER(SEARCH("byzantin",B213)),ISNUMBER(SEARCH("croate",B213)),ISNUMBER(SEARCH("ukrainien",B213)),ISNUMBER(SEARCH("bulgare",B213)),ISNUMBER(SEARCH("biélorusse",B213)),ISNUMBER(SEARCH("maltais",B213))),"Autres pays d'Europe",IF(OR(ISNUMBER(SEARCH("américain",B213)),ISNUMBER(SEARCH("mexicain",B213)),ISNUMBER(SEARCH("canadien",B213)),ISNUMBER(SEARCH("brésilien",B213)),ISNUMBER(SEARCH("argentin",B213))),"Amérique",IF(OR(ISNUMBER(SEARCH("chinois",B213)),ISNUMBER(SEARCH("japonais",B213)),ISNUMBER(SEARCH("coréen",B213)),ISNUMBER(SEARCH("indien",B213)),ISNUMBER(SEARCH("persan",B213)),ISNUMBER(SEARCH("iranien",B213))),"Asie","(non classée)"))))</f>
        <v/>
      </c>
    </row>
    <row r="214">
      <c r="A214" s="2" t="inlineStr">
        <is>
          <t>ESTEBAN JAMETE</t>
        </is>
      </c>
      <c r="B214" s="2" t="inlineStr">
        <is>
          <t>espagnole</t>
        </is>
      </c>
      <c r="C214" s="2" t="inlineStr">
        <is>
          <t>sculpture</t>
        </is>
      </c>
      <c r="D214" s="2" t="inlineStr">
        <is>
          <t>16e</t>
        </is>
      </c>
      <c r="U214">
        <f>IF(ISNUMBER(SEARCH("fran",B214)),"France",IF(OR(ISNUMBER(SEARCH("italien",B214)),ISNUMBER(SEARCH("espagn",B214)),ISNUMBER(SEARCH("catalan",B214)),ISNUMBER(SEARCH("flamand",B214)),ISNUMBER(SEARCH("belge",B214)),ISNUMBER(SEARCH("hollandais",B214)),ISNUMBER(SEARCH("néerlandais",B214)),ISNUMBER(SEARCH("allemand",B214)),ISNUMBER(SEARCH("autrichien",B214)),ISNUMBER(SEARCH("suisse",B214)),ISNUMBER(SEARCH("anglais",B214)),ISNUMBER(SEARCH("britannique",B214)),ISNUMBER(SEARCH("écossais",B214)),ISNUMBER(SEARCH("irlandais",B214)),ISNUMBER(SEARCH("russe",B214)),ISNUMBER(SEARCH("portugais",B214)),ISNUMBER(SEARCH("danois",B214)),ISNUMBER(SEARCH("norvégien",B214)),ISNUMBER(SEARCH("suédois",B214)),ISNUMBER(SEARCH("finlandais",B214)),ISNUMBER(SEARCH("polonais",B214)),ISNUMBER(SEARCH("tchèque",B214)),ISNUMBER(SEARCH("hongrois",B214)),ISNUMBER(SEARCH("grec",B214)),ISNUMBER(SEARCH("byzantin",B214)),ISNUMBER(SEARCH("croate",B214)),ISNUMBER(SEARCH("ukrainien",B214)),ISNUMBER(SEARCH("bulgare",B214)),ISNUMBER(SEARCH("biélorusse",B214)),ISNUMBER(SEARCH("maltais",B214))),"Autres pays d'Europe",IF(OR(ISNUMBER(SEARCH("américain",B214)),ISNUMBER(SEARCH("mexicain",B214)),ISNUMBER(SEARCH("canadien",B214)),ISNUMBER(SEARCH("brésilien",B214)),ISNUMBER(SEARCH("argentin",B214))),"Amérique",IF(OR(ISNUMBER(SEARCH("chinois",B214)),ISNUMBER(SEARCH("japonais",B214)),ISNUMBER(SEARCH("coréen",B214)),ISNUMBER(SEARCH("indien",B214)),ISNUMBER(SEARCH("persan",B214)),ISNUMBER(SEARCH("iranien",B214))),"Asie","(non classée)"))))</f>
        <v/>
      </c>
    </row>
    <row r="215">
      <c r="A215" s="2" t="inlineStr">
        <is>
          <t>ETIENNE LE HONGRE</t>
        </is>
      </c>
      <c r="B215" s="2" t="inlineStr">
        <is>
          <t>française</t>
        </is>
      </c>
      <c r="C215" s="2" t="inlineStr">
        <is>
          <t>sculpture</t>
        </is>
      </c>
      <c r="D215" s="2" t="inlineStr">
        <is>
          <t>17e</t>
        </is>
      </c>
      <c r="U215">
        <f>IF(ISNUMBER(SEARCH("fran",B215)),"France",IF(OR(ISNUMBER(SEARCH("italien",B215)),ISNUMBER(SEARCH("espagn",B215)),ISNUMBER(SEARCH("catalan",B215)),ISNUMBER(SEARCH("flamand",B215)),ISNUMBER(SEARCH("belge",B215)),ISNUMBER(SEARCH("hollandais",B215)),ISNUMBER(SEARCH("néerlandais",B215)),ISNUMBER(SEARCH("allemand",B215)),ISNUMBER(SEARCH("autrichien",B215)),ISNUMBER(SEARCH("suisse",B215)),ISNUMBER(SEARCH("anglais",B215)),ISNUMBER(SEARCH("britannique",B215)),ISNUMBER(SEARCH("écossais",B215)),ISNUMBER(SEARCH("irlandais",B215)),ISNUMBER(SEARCH("russe",B215)),ISNUMBER(SEARCH("portugais",B215)),ISNUMBER(SEARCH("danois",B215)),ISNUMBER(SEARCH("norvégien",B215)),ISNUMBER(SEARCH("suédois",B215)),ISNUMBER(SEARCH("finlandais",B215)),ISNUMBER(SEARCH("polonais",B215)),ISNUMBER(SEARCH("tchèque",B215)),ISNUMBER(SEARCH("hongrois",B215)),ISNUMBER(SEARCH("grec",B215)),ISNUMBER(SEARCH("byzantin",B215)),ISNUMBER(SEARCH("croate",B215)),ISNUMBER(SEARCH("ukrainien",B215)),ISNUMBER(SEARCH("bulgare",B215)),ISNUMBER(SEARCH("biélorusse",B215)),ISNUMBER(SEARCH("maltais",B215))),"Autres pays d'Europe",IF(OR(ISNUMBER(SEARCH("américain",B215)),ISNUMBER(SEARCH("mexicain",B215)),ISNUMBER(SEARCH("canadien",B215)),ISNUMBER(SEARCH("brésilien",B215)),ISNUMBER(SEARCH("argentin",B215))),"Amérique",IF(OR(ISNUMBER(SEARCH("chinois",B215)),ISNUMBER(SEARCH("japonais",B215)),ISNUMBER(SEARCH("coréen",B215)),ISNUMBER(SEARCH("indien",B215)),ISNUMBER(SEARCH("persan",B215)),ISNUMBER(SEARCH("iranien",B215))),"Asie","(non classée)"))))</f>
        <v/>
      </c>
    </row>
    <row r="216">
      <c r="A216" s="2" t="inlineStr">
        <is>
          <t>EUGÈNE DELACROIX</t>
        </is>
      </c>
      <c r="B216" s="2" t="inlineStr">
        <is>
          <t>française</t>
        </is>
      </c>
      <c r="C216" s="2" t="inlineStr">
        <is>
          <t>peinture</t>
        </is>
      </c>
      <c r="D216" s="2" t="inlineStr">
        <is>
          <t>19e</t>
        </is>
      </c>
      <c r="U216">
        <f>IF(ISNUMBER(SEARCH("fran",B216)),"France",IF(OR(ISNUMBER(SEARCH("italien",B216)),ISNUMBER(SEARCH("espagn",B216)),ISNUMBER(SEARCH("catalan",B216)),ISNUMBER(SEARCH("flamand",B216)),ISNUMBER(SEARCH("belge",B216)),ISNUMBER(SEARCH("hollandais",B216)),ISNUMBER(SEARCH("néerlandais",B216)),ISNUMBER(SEARCH("allemand",B216)),ISNUMBER(SEARCH("autrichien",B216)),ISNUMBER(SEARCH("suisse",B216)),ISNUMBER(SEARCH("anglais",B216)),ISNUMBER(SEARCH("britannique",B216)),ISNUMBER(SEARCH("écossais",B216)),ISNUMBER(SEARCH("irlandais",B216)),ISNUMBER(SEARCH("russe",B216)),ISNUMBER(SEARCH("portugais",B216)),ISNUMBER(SEARCH("danois",B216)),ISNUMBER(SEARCH("norvégien",B216)),ISNUMBER(SEARCH("suédois",B216)),ISNUMBER(SEARCH("finlandais",B216)),ISNUMBER(SEARCH("polonais",B216)),ISNUMBER(SEARCH("tchèque",B216)),ISNUMBER(SEARCH("hongrois",B216)),ISNUMBER(SEARCH("grec",B216)),ISNUMBER(SEARCH("byzantin",B216)),ISNUMBER(SEARCH("croate",B216)),ISNUMBER(SEARCH("ukrainien",B216)),ISNUMBER(SEARCH("bulgare",B216)),ISNUMBER(SEARCH("biélorusse",B216)),ISNUMBER(SEARCH("maltais",B216))),"Autres pays d'Europe",IF(OR(ISNUMBER(SEARCH("américain",B216)),ISNUMBER(SEARCH("mexicain",B216)),ISNUMBER(SEARCH("canadien",B216)),ISNUMBER(SEARCH("brésilien",B216)),ISNUMBER(SEARCH("argentin",B216))),"Amérique",IF(OR(ISNUMBER(SEARCH("chinois",B216)),ISNUMBER(SEARCH("japonais",B216)),ISNUMBER(SEARCH("coréen",B216)),ISNUMBER(SEARCH("indien",B216)),ISNUMBER(SEARCH("persan",B216)),ISNUMBER(SEARCH("iranien",B216))),"Asie","(non classée)"))))</f>
        <v/>
      </c>
    </row>
    <row r="217">
      <c r="A217" s="2" t="inlineStr">
        <is>
          <t>EUSTACHE LE SUEUR</t>
        </is>
      </c>
      <c r="B217" s="2" t="inlineStr">
        <is>
          <t>française</t>
        </is>
      </c>
      <c r="C217" s="2" t="inlineStr">
        <is>
          <t>peinture</t>
        </is>
      </c>
      <c r="D217" s="2" t="inlineStr">
        <is>
          <t>17e</t>
        </is>
      </c>
      <c r="U217">
        <f>IF(ISNUMBER(SEARCH("fran",B217)),"France",IF(OR(ISNUMBER(SEARCH("italien",B217)),ISNUMBER(SEARCH("espagn",B217)),ISNUMBER(SEARCH("catalan",B217)),ISNUMBER(SEARCH("flamand",B217)),ISNUMBER(SEARCH("belge",B217)),ISNUMBER(SEARCH("hollandais",B217)),ISNUMBER(SEARCH("néerlandais",B217)),ISNUMBER(SEARCH("allemand",B217)),ISNUMBER(SEARCH("autrichien",B217)),ISNUMBER(SEARCH("suisse",B217)),ISNUMBER(SEARCH("anglais",B217)),ISNUMBER(SEARCH("britannique",B217)),ISNUMBER(SEARCH("écossais",B217)),ISNUMBER(SEARCH("irlandais",B217)),ISNUMBER(SEARCH("russe",B217)),ISNUMBER(SEARCH("portugais",B217)),ISNUMBER(SEARCH("danois",B217)),ISNUMBER(SEARCH("norvégien",B217)),ISNUMBER(SEARCH("suédois",B217)),ISNUMBER(SEARCH("finlandais",B217)),ISNUMBER(SEARCH("polonais",B217)),ISNUMBER(SEARCH("tchèque",B217)),ISNUMBER(SEARCH("hongrois",B217)),ISNUMBER(SEARCH("grec",B217)),ISNUMBER(SEARCH("byzantin",B217)),ISNUMBER(SEARCH("croate",B217)),ISNUMBER(SEARCH("ukrainien",B217)),ISNUMBER(SEARCH("bulgare",B217)),ISNUMBER(SEARCH("biélorusse",B217)),ISNUMBER(SEARCH("maltais",B217))),"Autres pays d'Europe",IF(OR(ISNUMBER(SEARCH("américain",B217)),ISNUMBER(SEARCH("mexicain",B217)),ISNUMBER(SEARCH("canadien",B217)),ISNUMBER(SEARCH("brésilien",B217)),ISNUMBER(SEARCH("argentin",B217))),"Amérique",IF(OR(ISNUMBER(SEARCH("chinois",B217)),ISNUMBER(SEARCH("japonais",B217)),ISNUMBER(SEARCH("coréen",B217)),ISNUMBER(SEARCH("indien",B217)),ISNUMBER(SEARCH("persan",B217)),ISNUMBER(SEARCH("iranien",B217))),"Asie","(non classée)"))))</f>
        <v/>
      </c>
    </row>
    <row r="218">
      <c r="A218" s="2" t="inlineStr">
        <is>
          <t>FERDINAND TIEZT</t>
        </is>
      </c>
      <c r="B218" s="2" t="inlineStr">
        <is>
          <t>allemande</t>
        </is>
      </c>
      <c r="C218" s="2" t="inlineStr">
        <is>
          <t>sculpture</t>
        </is>
      </c>
      <c r="D218" s="2" t="inlineStr">
        <is>
          <t>18e</t>
        </is>
      </c>
      <c r="U218">
        <f>IF(ISNUMBER(SEARCH("fran",B218)),"France",IF(OR(ISNUMBER(SEARCH("italien",B218)),ISNUMBER(SEARCH("espagn",B218)),ISNUMBER(SEARCH("catalan",B218)),ISNUMBER(SEARCH("flamand",B218)),ISNUMBER(SEARCH("belge",B218)),ISNUMBER(SEARCH("hollandais",B218)),ISNUMBER(SEARCH("néerlandais",B218)),ISNUMBER(SEARCH("allemand",B218)),ISNUMBER(SEARCH("autrichien",B218)),ISNUMBER(SEARCH("suisse",B218)),ISNUMBER(SEARCH("anglais",B218)),ISNUMBER(SEARCH("britannique",B218)),ISNUMBER(SEARCH("écossais",B218)),ISNUMBER(SEARCH("irlandais",B218)),ISNUMBER(SEARCH("russe",B218)),ISNUMBER(SEARCH("portugais",B218)),ISNUMBER(SEARCH("danois",B218)),ISNUMBER(SEARCH("norvégien",B218)),ISNUMBER(SEARCH("suédois",B218)),ISNUMBER(SEARCH("finlandais",B218)),ISNUMBER(SEARCH("polonais",B218)),ISNUMBER(SEARCH("tchèque",B218)),ISNUMBER(SEARCH("hongrois",B218)),ISNUMBER(SEARCH("grec",B218)),ISNUMBER(SEARCH("byzantin",B218)),ISNUMBER(SEARCH("croate",B218)),ISNUMBER(SEARCH("ukrainien",B218)),ISNUMBER(SEARCH("bulgare",B218)),ISNUMBER(SEARCH("biélorusse",B218)),ISNUMBER(SEARCH("maltais",B218))),"Autres pays d'Europe",IF(OR(ISNUMBER(SEARCH("américain",B218)),ISNUMBER(SEARCH("mexicain",B218)),ISNUMBER(SEARCH("canadien",B218)),ISNUMBER(SEARCH("brésilien",B218)),ISNUMBER(SEARCH("argentin",B218))),"Amérique",IF(OR(ISNUMBER(SEARCH("chinois",B218)),ISNUMBER(SEARCH("japonais",B218)),ISNUMBER(SEARCH("coréen",B218)),ISNUMBER(SEARCH("indien",B218)),ISNUMBER(SEARCH("persan",B218)),ISNUMBER(SEARCH("iranien",B218))),"Asie","(non classée)"))))</f>
        <v/>
      </c>
    </row>
    <row r="219">
      <c r="A219" s="2" t="inlineStr">
        <is>
          <t>FRA ANGELICO</t>
        </is>
      </c>
      <c r="B219" s="2" t="inlineStr">
        <is>
          <t>italienne</t>
        </is>
      </c>
      <c r="C219" s="2" t="inlineStr">
        <is>
          <t>peinture</t>
        </is>
      </c>
      <c r="D219" s="2" t="inlineStr">
        <is>
          <t>15e</t>
        </is>
      </c>
      <c r="U219">
        <f>IF(ISNUMBER(SEARCH("fran",B219)),"France",IF(OR(ISNUMBER(SEARCH("italien",B219)),ISNUMBER(SEARCH("espagn",B219)),ISNUMBER(SEARCH("catalan",B219)),ISNUMBER(SEARCH("flamand",B219)),ISNUMBER(SEARCH("belge",B219)),ISNUMBER(SEARCH("hollandais",B219)),ISNUMBER(SEARCH("néerlandais",B219)),ISNUMBER(SEARCH("allemand",B219)),ISNUMBER(SEARCH("autrichien",B219)),ISNUMBER(SEARCH("suisse",B219)),ISNUMBER(SEARCH("anglais",B219)),ISNUMBER(SEARCH("britannique",B219)),ISNUMBER(SEARCH("écossais",B219)),ISNUMBER(SEARCH("irlandais",B219)),ISNUMBER(SEARCH("russe",B219)),ISNUMBER(SEARCH("portugais",B219)),ISNUMBER(SEARCH("danois",B219)),ISNUMBER(SEARCH("norvégien",B219)),ISNUMBER(SEARCH("suédois",B219)),ISNUMBER(SEARCH("finlandais",B219)),ISNUMBER(SEARCH("polonais",B219)),ISNUMBER(SEARCH("tchèque",B219)),ISNUMBER(SEARCH("hongrois",B219)),ISNUMBER(SEARCH("grec",B219)),ISNUMBER(SEARCH("byzantin",B219)),ISNUMBER(SEARCH("croate",B219)),ISNUMBER(SEARCH("ukrainien",B219)),ISNUMBER(SEARCH("bulgare",B219)),ISNUMBER(SEARCH("biélorusse",B219)),ISNUMBER(SEARCH("maltais",B219))),"Autres pays d'Europe",IF(OR(ISNUMBER(SEARCH("américain",B219)),ISNUMBER(SEARCH("mexicain",B219)),ISNUMBER(SEARCH("canadien",B219)),ISNUMBER(SEARCH("brésilien",B219)),ISNUMBER(SEARCH("argentin",B219))),"Amérique",IF(OR(ISNUMBER(SEARCH("chinois",B219)),ISNUMBER(SEARCH("japonais",B219)),ISNUMBER(SEARCH("coréen",B219)),ISNUMBER(SEARCH("indien",B219)),ISNUMBER(SEARCH("persan",B219)),ISNUMBER(SEARCH("iranien",B219))),"Asie","(non classée)"))))</f>
        <v/>
      </c>
    </row>
    <row r="220">
      <c r="A220" s="2" t="inlineStr">
        <is>
          <t>FEDERICO BAROCCI</t>
        </is>
      </c>
      <c r="B220" s="2" t="inlineStr">
        <is>
          <t>italienne</t>
        </is>
      </c>
      <c r="C220" s="2" t="inlineStr">
        <is>
          <t>peinture</t>
        </is>
      </c>
      <c r="D220" s="2" t="inlineStr">
        <is>
          <t>16e</t>
        </is>
      </c>
      <c r="U220">
        <f>IF(ISNUMBER(SEARCH("fran",B220)),"France",IF(OR(ISNUMBER(SEARCH("italien",B220)),ISNUMBER(SEARCH("espagn",B220)),ISNUMBER(SEARCH("catalan",B220)),ISNUMBER(SEARCH("flamand",B220)),ISNUMBER(SEARCH("belge",B220)),ISNUMBER(SEARCH("hollandais",B220)),ISNUMBER(SEARCH("néerlandais",B220)),ISNUMBER(SEARCH("allemand",B220)),ISNUMBER(SEARCH("autrichien",B220)),ISNUMBER(SEARCH("suisse",B220)),ISNUMBER(SEARCH("anglais",B220)),ISNUMBER(SEARCH("britannique",B220)),ISNUMBER(SEARCH("écossais",B220)),ISNUMBER(SEARCH("irlandais",B220)),ISNUMBER(SEARCH("russe",B220)),ISNUMBER(SEARCH("portugais",B220)),ISNUMBER(SEARCH("danois",B220)),ISNUMBER(SEARCH("norvégien",B220)),ISNUMBER(SEARCH("suédois",B220)),ISNUMBER(SEARCH("finlandais",B220)),ISNUMBER(SEARCH("polonais",B220)),ISNUMBER(SEARCH("tchèque",B220)),ISNUMBER(SEARCH("hongrois",B220)),ISNUMBER(SEARCH("grec",B220)),ISNUMBER(SEARCH("byzantin",B220)),ISNUMBER(SEARCH("croate",B220)),ISNUMBER(SEARCH("ukrainien",B220)),ISNUMBER(SEARCH("bulgare",B220)),ISNUMBER(SEARCH("biélorusse",B220)),ISNUMBER(SEARCH("maltais",B220))),"Autres pays d'Europe",IF(OR(ISNUMBER(SEARCH("américain",B220)),ISNUMBER(SEARCH("mexicain",B220)),ISNUMBER(SEARCH("canadien",B220)),ISNUMBER(SEARCH("brésilien",B220)),ISNUMBER(SEARCH("argentin",B220))),"Amérique",IF(OR(ISNUMBER(SEARCH("chinois",B220)),ISNUMBER(SEARCH("japonais",B220)),ISNUMBER(SEARCH("coréen",B220)),ISNUMBER(SEARCH("indien",B220)),ISNUMBER(SEARCH("persan",B220)),ISNUMBER(SEARCH("iranien",B220))),"Asie","(non classée)"))))</f>
        <v/>
      </c>
    </row>
    <row r="221">
      <c r="A221" s="2" t="inlineStr">
        <is>
          <t>FELIPE BIGARNY</t>
        </is>
      </c>
      <c r="B221" s="2" t="inlineStr">
        <is>
          <t>espagnole</t>
        </is>
      </c>
      <c r="C221" s="2" t="inlineStr">
        <is>
          <t>sculpture</t>
        </is>
      </c>
      <c r="D221" s="2" t="inlineStr">
        <is>
          <t>16e</t>
        </is>
      </c>
      <c r="U221">
        <f>IF(ISNUMBER(SEARCH("fran",B221)),"France",IF(OR(ISNUMBER(SEARCH("italien",B221)),ISNUMBER(SEARCH("espagn",B221)),ISNUMBER(SEARCH("catalan",B221)),ISNUMBER(SEARCH("flamand",B221)),ISNUMBER(SEARCH("belge",B221)),ISNUMBER(SEARCH("hollandais",B221)),ISNUMBER(SEARCH("néerlandais",B221)),ISNUMBER(SEARCH("allemand",B221)),ISNUMBER(SEARCH("autrichien",B221)),ISNUMBER(SEARCH("suisse",B221)),ISNUMBER(SEARCH("anglais",B221)),ISNUMBER(SEARCH("britannique",B221)),ISNUMBER(SEARCH("écossais",B221)),ISNUMBER(SEARCH("irlandais",B221)),ISNUMBER(SEARCH("russe",B221)),ISNUMBER(SEARCH("portugais",B221)),ISNUMBER(SEARCH("danois",B221)),ISNUMBER(SEARCH("norvégien",B221)),ISNUMBER(SEARCH("suédois",B221)),ISNUMBER(SEARCH("finlandais",B221)),ISNUMBER(SEARCH("polonais",B221)),ISNUMBER(SEARCH("tchèque",B221)),ISNUMBER(SEARCH("hongrois",B221)),ISNUMBER(SEARCH("grec",B221)),ISNUMBER(SEARCH("byzantin",B221)),ISNUMBER(SEARCH("croate",B221)),ISNUMBER(SEARCH("ukrainien",B221)),ISNUMBER(SEARCH("bulgare",B221)),ISNUMBER(SEARCH("biélorusse",B221)),ISNUMBER(SEARCH("maltais",B221))),"Autres pays d'Europe",IF(OR(ISNUMBER(SEARCH("américain",B221)),ISNUMBER(SEARCH("mexicain",B221)),ISNUMBER(SEARCH("canadien",B221)),ISNUMBER(SEARCH("brésilien",B221)),ISNUMBER(SEARCH("argentin",B221))),"Amérique",IF(OR(ISNUMBER(SEARCH("chinois",B221)),ISNUMBER(SEARCH("japonais",B221)),ISNUMBER(SEARCH("coréen",B221)),ISNUMBER(SEARCH("indien",B221)),ISNUMBER(SEARCH("persan",B221)),ISNUMBER(SEARCH("iranien",B221))),"Asie","(non classée)"))))</f>
        <v/>
      </c>
    </row>
    <row r="222">
      <c r="A222" s="2" t="inlineStr">
        <is>
          <t>FERDINAND HODLER</t>
        </is>
      </c>
      <c r="B222" s="2" t="inlineStr">
        <is>
          <t>suisse</t>
        </is>
      </c>
      <c r="C222" s="2" t="inlineStr">
        <is>
          <t>peinture</t>
        </is>
      </c>
      <c r="D222" s="2" t="inlineStr">
        <is>
          <t>20e</t>
        </is>
      </c>
      <c r="U222">
        <f>IF(ISNUMBER(SEARCH("fran",B222)),"France",IF(OR(ISNUMBER(SEARCH("italien",B222)),ISNUMBER(SEARCH("espagn",B222)),ISNUMBER(SEARCH("catalan",B222)),ISNUMBER(SEARCH("flamand",B222)),ISNUMBER(SEARCH("belge",B222)),ISNUMBER(SEARCH("hollandais",B222)),ISNUMBER(SEARCH("néerlandais",B222)),ISNUMBER(SEARCH("allemand",B222)),ISNUMBER(SEARCH("autrichien",B222)),ISNUMBER(SEARCH("suisse",B222)),ISNUMBER(SEARCH("anglais",B222)),ISNUMBER(SEARCH("britannique",B222)),ISNUMBER(SEARCH("écossais",B222)),ISNUMBER(SEARCH("irlandais",B222)),ISNUMBER(SEARCH("russe",B222)),ISNUMBER(SEARCH("portugais",B222)),ISNUMBER(SEARCH("danois",B222)),ISNUMBER(SEARCH("norvégien",B222)),ISNUMBER(SEARCH("suédois",B222)),ISNUMBER(SEARCH("finlandais",B222)),ISNUMBER(SEARCH("polonais",B222)),ISNUMBER(SEARCH("tchèque",B222)),ISNUMBER(SEARCH("hongrois",B222)),ISNUMBER(SEARCH("grec",B222)),ISNUMBER(SEARCH("byzantin",B222)),ISNUMBER(SEARCH("croate",B222)),ISNUMBER(SEARCH("ukrainien",B222)),ISNUMBER(SEARCH("bulgare",B222)),ISNUMBER(SEARCH("biélorusse",B222)),ISNUMBER(SEARCH("maltais",B222))),"Autres pays d'Europe",IF(OR(ISNUMBER(SEARCH("américain",B222)),ISNUMBER(SEARCH("mexicain",B222)),ISNUMBER(SEARCH("canadien",B222)),ISNUMBER(SEARCH("brésilien",B222)),ISNUMBER(SEARCH("argentin",B222))),"Amérique",IF(OR(ISNUMBER(SEARCH("chinois",B222)),ISNUMBER(SEARCH("japonais",B222)),ISNUMBER(SEARCH("coréen",B222)),ISNUMBER(SEARCH("indien",B222)),ISNUMBER(SEARCH("persan",B222)),ISNUMBER(SEARCH("iranien",B222))),"Asie","(non classée)"))))</f>
        <v/>
      </c>
    </row>
    <row r="223">
      <c r="A223" s="2" t="inlineStr">
        <is>
          <t>FERNAND LÉGER</t>
        </is>
      </c>
      <c r="B223" s="2" t="inlineStr">
        <is>
          <t>française</t>
        </is>
      </c>
      <c r="C223" s="2" t="inlineStr">
        <is>
          <t>peinture</t>
        </is>
      </c>
      <c r="D223" s="2" t="inlineStr">
        <is>
          <t>20e</t>
        </is>
      </c>
      <c r="U223">
        <f>IF(ISNUMBER(SEARCH("fran",B223)),"France",IF(OR(ISNUMBER(SEARCH("italien",B223)),ISNUMBER(SEARCH("espagn",B223)),ISNUMBER(SEARCH("catalan",B223)),ISNUMBER(SEARCH("flamand",B223)),ISNUMBER(SEARCH("belge",B223)),ISNUMBER(SEARCH("hollandais",B223)),ISNUMBER(SEARCH("néerlandais",B223)),ISNUMBER(SEARCH("allemand",B223)),ISNUMBER(SEARCH("autrichien",B223)),ISNUMBER(SEARCH("suisse",B223)),ISNUMBER(SEARCH("anglais",B223)),ISNUMBER(SEARCH("britannique",B223)),ISNUMBER(SEARCH("écossais",B223)),ISNUMBER(SEARCH("irlandais",B223)),ISNUMBER(SEARCH("russe",B223)),ISNUMBER(SEARCH("portugais",B223)),ISNUMBER(SEARCH("danois",B223)),ISNUMBER(SEARCH("norvégien",B223)),ISNUMBER(SEARCH("suédois",B223)),ISNUMBER(SEARCH("finlandais",B223)),ISNUMBER(SEARCH("polonais",B223)),ISNUMBER(SEARCH("tchèque",B223)),ISNUMBER(SEARCH("hongrois",B223)),ISNUMBER(SEARCH("grec",B223)),ISNUMBER(SEARCH("byzantin",B223)),ISNUMBER(SEARCH("croate",B223)),ISNUMBER(SEARCH("ukrainien",B223)),ISNUMBER(SEARCH("bulgare",B223)),ISNUMBER(SEARCH("biélorusse",B223)),ISNUMBER(SEARCH("maltais",B223))),"Autres pays d'Europe",IF(OR(ISNUMBER(SEARCH("américain",B223)),ISNUMBER(SEARCH("mexicain",B223)),ISNUMBER(SEARCH("canadien",B223)),ISNUMBER(SEARCH("brésilien",B223)),ISNUMBER(SEARCH("argentin",B223))),"Amérique",IF(OR(ISNUMBER(SEARCH("chinois",B223)),ISNUMBER(SEARCH("japonais",B223)),ISNUMBER(SEARCH("coréen",B223)),ISNUMBER(SEARCH("indien",B223)),ISNUMBER(SEARCH("persan",B223)),ISNUMBER(SEARCH("iranien",B223))),"Asie","(non classée)"))))</f>
        <v/>
      </c>
    </row>
    <row r="224">
      <c r="A224" s="2" t="inlineStr">
        <is>
          <t>FERNANDO GALLEGO</t>
        </is>
      </c>
      <c r="B224" s="2" t="inlineStr">
        <is>
          <t>espagnole</t>
        </is>
      </c>
      <c r="C224" s="2" t="inlineStr">
        <is>
          <t>peinture</t>
        </is>
      </c>
      <c r="D224" s="2" t="inlineStr">
        <is>
          <t>15e</t>
        </is>
      </c>
      <c r="U224">
        <f>IF(ISNUMBER(SEARCH("fran",B224)),"France",IF(OR(ISNUMBER(SEARCH("italien",B224)),ISNUMBER(SEARCH("espagn",B224)),ISNUMBER(SEARCH("catalan",B224)),ISNUMBER(SEARCH("flamand",B224)),ISNUMBER(SEARCH("belge",B224)),ISNUMBER(SEARCH("hollandais",B224)),ISNUMBER(SEARCH("néerlandais",B224)),ISNUMBER(SEARCH("allemand",B224)),ISNUMBER(SEARCH("autrichien",B224)),ISNUMBER(SEARCH("suisse",B224)),ISNUMBER(SEARCH("anglais",B224)),ISNUMBER(SEARCH("britannique",B224)),ISNUMBER(SEARCH("écossais",B224)),ISNUMBER(SEARCH("irlandais",B224)),ISNUMBER(SEARCH("russe",B224)),ISNUMBER(SEARCH("portugais",B224)),ISNUMBER(SEARCH("danois",B224)),ISNUMBER(SEARCH("norvégien",B224)),ISNUMBER(SEARCH("suédois",B224)),ISNUMBER(SEARCH("finlandais",B224)),ISNUMBER(SEARCH("polonais",B224)),ISNUMBER(SEARCH("tchèque",B224)),ISNUMBER(SEARCH("hongrois",B224)),ISNUMBER(SEARCH("grec",B224)),ISNUMBER(SEARCH("byzantin",B224)),ISNUMBER(SEARCH("croate",B224)),ISNUMBER(SEARCH("ukrainien",B224)),ISNUMBER(SEARCH("bulgare",B224)),ISNUMBER(SEARCH("biélorusse",B224)),ISNUMBER(SEARCH("maltais",B224))),"Autres pays d'Europe",IF(OR(ISNUMBER(SEARCH("américain",B224)),ISNUMBER(SEARCH("mexicain",B224)),ISNUMBER(SEARCH("canadien",B224)),ISNUMBER(SEARCH("brésilien",B224)),ISNUMBER(SEARCH("argentin",B224))),"Amérique",IF(OR(ISNUMBER(SEARCH("chinois",B224)),ISNUMBER(SEARCH("japonais",B224)),ISNUMBER(SEARCH("coréen",B224)),ISNUMBER(SEARCH("indien",B224)),ISNUMBER(SEARCH("persan",B224)),ISNUMBER(SEARCH("iranien",B224))),"Asie","(non classée)"))))</f>
        <v/>
      </c>
    </row>
    <row r="225">
      <c r="A225" s="2" t="inlineStr">
        <is>
          <t>FERRER BASSA</t>
        </is>
      </c>
      <c r="B225" s="2" t="inlineStr">
        <is>
          <t>catalane (Espagne)</t>
        </is>
      </c>
      <c r="C225" s="2" t="inlineStr">
        <is>
          <t>peinture</t>
        </is>
      </c>
      <c r="D225" s="2" t="inlineStr">
        <is>
          <t>14e</t>
        </is>
      </c>
      <c r="U225">
        <f>IF(ISNUMBER(SEARCH("fran",B225)),"France",IF(OR(ISNUMBER(SEARCH("italien",B225)),ISNUMBER(SEARCH("espagn",B225)),ISNUMBER(SEARCH("catalan",B225)),ISNUMBER(SEARCH("flamand",B225)),ISNUMBER(SEARCH("belge",B225)),ISNUMBER(SEARCH("hollandais",B225)),ISNUMBER(SEARCH("néerlandais",B225)),ISNUMBER(SEARCH("allemand",B225)),ISNUMBER(SEARCH("autrichien",B225)),ISNUMBER(SEARCH("suisse",B225)),ISNUMBER(SEARCH("anglais",B225)),ISNUMBER(SEARCH("britannique",B225)),ISNUMBER(SEARCH("écossais",B225)),ISNUMBER(SEARCH("irlandais",B225)),ISNUMBER(SEARCH("russe",B225)),ISNUMBER(SEARCH("portugais",B225)),ISNUMBER(SEARCH("danois",B225)),ISNUMBER(SEARCH("norvégien",B225)),ISNUMBER(SEARCH("suédois",B225)),ISNUMBER(SEARCH("finlandais",B225)),ISNUMBER(SEARCH("polonais",B225)),ISNUMBER(SEARCH("tchèque",B225)),ISNUMBER(SEARCH("hongrois",B225)),ISNUMBER(SEARCH("grec",B225)),ISNUMBER(SEARCH("byzantin",B225)),ISNUMBER(SEARCH("croate",B225)),ISNUMBER(SEARCH("ukrainien",B225)),ISNUMBER(SEARCH("bulgare",B225)),ISNUMBER(SEARCH("biélorusse",B225)),ISNUMBER(SEARCH("maltais",B225))),"Autres pays d'Europe",IF(OR(ISNUMBER(SEARCH("américain",B225)),ISNUMBER(SEARCH("mexicain",B225)),ISNUMBER(SEARCH("canadien",B225)),ISNUMBER(SEARCH("brésilien",B225)),ISNUMBER(SEARCH("argentin",B225))),"Amérique",IF(OR(ISNUMBER(SEARCH("chinois",B225)),ISNUMBER(SEARCH("japonais",B225)),ISNUMBER(SEARCH("coréen",B225)),ISNUMBER(SEARCH("indien",B225)),ISNUMBER(SEARCH("persan",B225)),ISNUMBER(SEARCH("iranien",B225))),"Asie","(non classée)"))))</f>
        <v/>
      </c>
    </row>
    <row r="226">
      <c r="A226" s="2" t="inlineStr">
        <is>
          <t>FILIPPINO LIPPI</t>
        </is>
      </c>
      <c r="B226" s="2" t="inlineStr">
        <is>
          <t>italienne</t>
        </is>
      </c>
      <c r="C226" s="2" t="inlineStr">
        <is>
          <t>peinture</t>
        </is>
      </c>
      <c r="D226" s="2" t="inlineStr">
        <is>
          <t>15e</t>
        </is>
      </c>
      <c r="U226">
        <f>IF(ISNUMBER(SEARCH("fran",B226)),"France",IF(OR(ISNUMBER(SEARCH("italien",B226)),ISNUMBER(SEARCH("espagn",B226)),ISNUMBER(SEARCH("catalan",B226)),ISNUMBER(SEARCH("flamand",B226)),ISNUMBER(SEARCH("belge",B226)),ISNUMBER(SEARCH("hollandais",B226)),ISNUMBER(SEARCH("néerlandais",B226)),ISNUMBER(SEARCH("allemand",B226)),ISNUMBER(SEARCH("autrichien",B226)),ISNUMBER(SEARCH("suisse",B226)),ISNUMBER(SEARCH("anglais",B226)),ISNUMBER(SEARCH("britannique",B226)),ISNUMBER(SEARCH("écossais",B226)),ISNUMBER(SEARCH("irlandais",B226)),ISNUMBER(SEARCH("russe",B226)),ISNUMBER(SEARCH("portugais",B226)),ISNUMBER(SEARCH("danois",B226)),ISNUMBER(SEARCH("norvégien",B226)),ISNUMBER(SEARCH("suédois",B226)),ISNUMBER(SEARCH("finlandais",B226)),ISNUMBER(SEARCH("polonais",B226)),ISNUMBER(SEARCH("tchèque",B226)),ISNUMBER(SEARCH("hongrois",B226)),ISNUMBER(SEARCH("grec",B226)),ISNUMBER(SEARCH("byzantin",B226)),ISNUMBER(SEARCH("croate",B226)),ISNUMBER(SEARCH("ukrainien",B226)),ISNUMBER(SEARCH("bulgare",B226)),ISNUMBER(SEARCH("biélorusse",B226)),ISNUMBER(SEARCH("maltais",B226))),"Autres pays d'Europe",IF(OR(ISNUMBER(SEARCH("américain",B226)),ISNUMBER(SEARCH("mexicain",B226)),ISNUMBER(SEARCH("canadien",B226)),ISNUMBER(SEARCH("brésilien",B226)),ISNUMBER(SEARCH("argentin",B226))),"Amérique",IF(OR(ISNUMBER(SEARCH("chinois",B226)),ISNUMBER(SEARCH("japonais",B226)),ISNUMBER(SEARCH("coréen",B226)),ISNUMBER(SEARCH("indien",B226)),ISNUMBER(SEARCH("persan",B226)),ISNUMBER(SEARCH("iranien",B226))),"Asie","(non classée)"))))</f>
        <v/>
      </c>
    </row>
    <row r="227">
      <c r="A227" s="2" t="inlineStr">
        <is>
          <t>FILIPPO PARODI</t>
        </is>
      </c>
      <c r="B227" s="2" t="inlineStr">
        <is>
          <t>italienne</t>
        </is>
      </c>
      <c r="C227" s="2" t="inlineStr">
        <is>
          <t>sculpture</t>
        </is>
      </c>
      <c r="D227" s="2" t="inlineStr">
        <is>
          <t>17e</t>
        </is>
      </c>
      <c r="U227">
        <f>IF(ISNUMBER(SEARCH("fran",B227)),"France",IF(OR(ISNUMBER(SEARCH("italien",B227)),ISNUMBER(SEARCH("espagn",B227)),ISNUMBER(SEARCH("catalan",B227)),ISNUMBER(SEARCH("flamand",B227)),ISNUMBER(SEARCH("belge",B227)),ISNUMBER(SEARCH("hollandais",B227)),ISNUMBER(SEARCH("néerlandais",B227)),ISNUMBER(SEARCH("allemand",B227)),ISNUMBER(SEARCH("autrichien",B227)),ISNUMBER(SEARCH("suisse",B227)),ISNUMBER(SEARCH("anglais",B227)),ISNUMBER(SEARCH("britannique",B227)),ISNUMBER(SEARCH("écossais",B227)),ISNUMBER(SEARCH("irlandais",B227)),ISNUMBER(SEARCH("russe",B227)),ISNUMBER(SEARCH("portugais",B227)),ISNUMBER(SEARCH("danois",B227)),ISNUMBER(SEARCH("norvégien",B227)),ISNUMBER(SEARCH("suédois",B227)),ISNUMBER(SEARCH("finlandais",B227)),ISNUMBER(SEARCH("polonais",B227)),ISNUMBER(SEARCH("tchèque",B227)),ISNUMBER(SEARCH("hongrois",B227)),ISNUMBER(SEARCH("grec",B227)),ISNUMBER(SEARCH("byzantin",B227)),ISNUMBER(SEARCH("croate",B227)),ISNUMBER(SEARCH("ukrainien",B227)),ISNUMBER(SEARCH("bulgare",B227)),ISNUMBER(SEARCH("biélorusse",B227)),ISNUMBER(SEARCH("maltais",B227))),"Autres pays d'Europe",IF(OR(ISNUMBER(SEARCH("américain",B227)),ISNUMBER(SEARCH("mexicain",B227)),ISNUMBER(SEARCH("canadien",B227)),ISNUMBER(SEARCH("brésilien",B227)),ISNUMBER(SEARCH("argentin",B227))),"Amérique",IF(OR(ISNUMBER(SEARCH("chinois",B227)),ISNUMBER(SEARCH("japonais",B227)),ISNUMBER(SEARCH("coréen",B227)),ISNUMBER(SEARCH("indien",B227)),ISNUMBER(SEARCH("persan",B227)),ISNUMBER(SEARCH("iranien",B227))),"Asie","(non classée)"))))</f>
        <v/>
      </c>
    </row>
    <row r="228">
      <c r="A228" s="2" t="inlineStr">
        <is>
          <t>FILIPPO DELLA VALLE</t>
        </is>
      </c>
      <c r="B228" s="2" t="inlineStr">
        <is>
          <t>italienne</t>
        </is>
      </c>
      <c r="C228" s="2" t="inlineStr">
        <is>
          <t>sculpture</t>
        </is>
      </c>
      <c r="D228" s="2" t="inlineStr">
        <is>
          <t>18e</t>
        </is>
      </c>
      <c r="U228">
        <f>IF(ISNUMBER(SEARCH("fran",B228)),"France",IF(OR(ISNUMBER(SEARCH("italien",B228)),ISNUMBER(SEARCH("espagn",B228)),ISNUMBER(SEARCH("catalan",B228)),ISNUMBER(SEARCH("flamand",B228)),ISNUMBER(SEARCH("belge",B228)),ISNUMBER(SEARCH("hollandais",B228)),ISNUMBER(SEARCH("néerlandais",B228)),ISNUMBER(SEARCH("allemand",B228)),ISNUMBER(SEARCH("autrichien",B228)),ISNUMBER(SEARCH("suisse",B228)),ISNUMBER(SEARCH("anglais",B228)),ISNUMBER(SEARCH("britannique",B228)),ISNUMBER(SEARCH("écossais",B228)),ISNUMBER(SEARCH("irlandais",B228)),ISNUMBER(SEARCH("russe",B228)),ISNUMBER(SEARCH("portugais",B228)),ISNUMBER(SEARCH("danois",B228)),ISNUMBER(SEARCH("norvégien",B228)),ISNUMBER(SEARCH("suédois",B228)),ISNUMBER(SEARCH("finlandais",B228)),ISNUMBER(SEARCH("polonais",B228)),ISNUMBER(SEARCH("tchèque",B228)),ISNUMBER(SEARCH("hongrois",B228)),ISNUMBER(SEARCH("grec",B228)),ISNUMBER(SEARCH("byzantin",B228)),ISNUMBER(SEARCH("croate",B228)),ISNUMBER(SEARCH("ukrainien",B228)),ISNUMBER(SEARCH("bulgare",B228)),ISNUMBER(SEARCH("biélorusse",B228)),ISNUMBER(SEARCH("maltais",B228))),"Autres pays d'Europe",IF(OR(ISNUMBER(SEARCH("américain",B228)),ISNUMBER(SEARCH("mexicain",B228)),ISNUMBER(SEARCH("canadien",B228)),ISNUMBER(SEARCH("brésilien",B228)),ISNUMBER(SEARCH("argentin",B228))),"Amérique",IF(OR(ISNUMBER(SEARCH("chinois",B228)),ISNUMBER(SEARCH("japonais",B228)),ISNUMBER(SEARCH("coréen",B228)),ISNUMBER(SEARCH("indien",B228)),ISNUMBER(SEARCH("persan",B228)),ISNUMBER(SEARCH("iranien",B228))),"Asie","(non classée)"))))</f>
        <v/>
      </c>
    </row>
    <row r="229">
      <c r="A229" s="2" t="inlineStr">
        <is>
          <t>FIODOR ROKOTOV</t>
        </is>
      </c>
      <c r="B229" s="2" t="inlineStr">
        <is>
          <t>russe</t>
        </is>
      </c>
      <c r="C229" s="2" t="inlineStr">
        <is>
          <t>peinture</t>
        </is>
      </c>
      <c r="D229" s="2" t="inlineStr">
        <is>
          <t>18e</t>
        </is>
      </c>
      <c r="U229">
        <f>IF(ISNUMBER(SEARCH("fran",B229)),"France",IF(OR(ISNUMBER(SEARCH("italien",B229)),ISNUMBER(SEARCH("espagn",B229)),ISNUMBER(SEARCH("catalan",B229)),ISNUMBER(SEARCH("flamand",B229)),ISNUMBER(SEARCH("belge",B229)),ISNUMBER(SEARCH("hollandais",B229)),ISNUMBER(SEARCH("néerlandais",B229)),ISNUMBER(SEARCH("allemand",B229)),ISNUMBER(SEARCH("autrichien",B229)),ISNUMBER(SEARCH("suisse",B229)),ISNUMBER(SEARCH("anglais",B229)),ISNUMBER(SEARCH("britannique",B229)),ISNUMBER(SEARCH("écossais",B229)),ISNUMBER(SEARCH("irlandais",B229)),ISNUMBER(SEARCH("russe",B229)),ISNUMBER(SEARCH("portugais",B229)),ISNUMBER(SEARCH("danois",B229)),ISNUMBER(SEARCH("norvégien",B229)),ISNUMBER(SEARCH("suédois",B229)),ISNUMBER(SEARCH("finlandais",B229)),ISNUMBER(SEARCH("polonais",B229)),ISNUMBER(SEARCH("tchèque",B229)),ISNUMBER(SEARCH("hongrois",B229)),ISNUMBER(SEARCH("grec",B229)),ISNUMBER(SEARCH("byzantin",B229)),ISNUMBER(SEARCH("croate",B229)),ISNUMBER(SEARCH("ukrainien",B229)),ISNUMBER(SEARCH("bulgare",B229)),ISNUMBER(SEARCH("biélorusse",B229)),ISNUMBER(SEARCH("maltais",B229))),"Autres pays d'Europe",IF(OR(ISNUMBER(SEARCH("américain",B229)),ISNUMBER(SEARCH("mexicain",B229)),ISNUMBER(SEARCH("canadien",B229)),ISNUMBER(SEARCH("brésilien",B229)),ISNUMBER(SEARCH("argentin",B229))),"Amérique",IF(OR(ISNUMBER(SEARCH("chinois",B229)),ISNUMBER(SEARCH("japonais",B229)),ISNUMBER(SEARCH("coréen",B229)),ISNUMBER(SEARCH("indien",B229)),ISNUMBER(SEARCH("persan",B229)),ISNUMBER(SEARCH("iranien",B229))),"Asie","(non classée)"))))</f>
        <v/>
      </c>
    </row>
    <row r="230">
      <c r="A230" s="2" t="inlineStr">
        <is>
          <t>FRA FILIPPO LIPPI</t>
        </is>
      </c>
      <c r="B230" s="2" t="inlineStr">
        <is>
          <t>italienne</t>
        </is>
      </c>
      <c r="C230" s="2" t="inlineStr">
        <is>
          <t>peinture</t>
        </is>
      </c>
      <c r="D230" s="2" t="inlineStr">
        <is>
          <t>15e</t>
        </is>
      </c>
      <c r="U230">
        <f>IF(ISNUMBER(SEARCH("fran",B230)),"France",IF(OR(ISNUMBER(SEARCH("italien",B230)),ISNUMBER(SEARCH("espagn",B230)),ISNUMBER(SEARCH("catalan",B230)),ISNUMBER(SEARCH("flamand",B230)),ISNUMBER(SEARCH("belge",B230)),ISNUMBER(SEARCH("hollandais",B230)),ISNUMBER(SEARCH("néerlandais",B230)),ISNUMBER(SEARCH("allemand",B230)),ISNUMBER(SEARCH("autrichien",B230)),ISNUMBER(SEARCH("suisse",B230)),ISNUMBER(SEARCH("anglais",B230)),ISNUMBER(SEARCH("britannique",B230)),ISNUMBER(SEARCH("écossais",B230)),ISNUMBER(SEARCH("irlandais",B230)),ISNUMBER(SEARCH("russe",B230)),ISNUMBER(SEARCH("portugais",B230)),ISNUMBER(SEARCH("danois",B230)),ISNUMBER(SEARCH("norvégien",B230)),ISNUMBER(SEARCH("suédois",B230)),ISNUMBER(SEARCH("finlandais",B230)),ISNUMBER(SEARCH("polonais",B230)),ISNUMBER(SEARCH("tchèque",B230)),ISNUMBER(SEARCH("hongrois",B230)),ISNUMBER(SEARCH("grec",B230)),ISNUMBER(SEARCH("byzantin",B230)),ISNUMBER(SEARCH("croate",B230)),ISNUMBER(SEARCH("ukrainien",B230)),ISNUMBER(SEARCH("bulgare",B230)),ISNUMBER(SEARCH("biélorusse",B230)),ISNUMBER(SEARCH("maltais",B230))),"Autres pays d'Europe",IF(OR(ISNUMBER(SEARCH("américain",B230)),ISNUMBER(SEARCH("mexicain",B230)),ISNUMBER(SEARCH("canadien",B230)),ISNUMBER(SEARCH("brésilien",B230)),ISNUMBER(SEARCH("argentin",B230))),"Amérique",IF(OR(ISNUMBER(SEARCH("chinois",B230)),ISNUMBER(SEARCH("japonais",B230)),ISNUMBER(SEARCH("coréen",B230)),ISNUMBER(SEARCH("indien",B230)),ISNUMBER(SEARCH("persan",B230)),ISNUMBER(SEARCH("iranien",B230))),"Asie","(non classée)"))))</f>
        <v/>
      </c>
    </row>
    <row r="231">
      <c r="A231" s="2" t="inlineStr">
        <is>
          <t>FRANCESCO GUARDI</t>
        </is>
      </c>
      <c r="B231" s="2" t="inlineStr">
        <is>
          <t>italienne</t>
        </is>
      </c>
      <c r="C231" s="2" t="inlineStr">
        <is>
          <t>peinture</t>
        </is>
      </c>
      <c r="D231" s="2" t="inlineStr">
        <is>
          <t>18e</t>
        </is>
      </c>
      <c r="U231">
        <f>IF(ISNUMBER(SEARCH("fran",B231)),"France",IF(OR(ISNUMBER(SEARCH("italien",B231)),ISNUMBER(SEARCH("espagn",B231)),ISNUMBER(SEARCH("catalan",B231)),ISNUMBER(SEARCH("flamand",B231)),ISNUMBER(SEARCH("belge",B231)),ISNUMBER(SEARCH("hollandais",B231)),ISNUMBER(SEARCH("néerlandais",B231)),ISNUMBER(SEARCH("allemand",B231)),ISNUMBER(SEARCH("autrichien",B231)),ISNUMBER(SEARCH("suisse",B231)),ISNUMBER(SEARCH("anglais",B231)),ISNUMBER(SEARCH("britannique",B231)),ISNUMBER(SEARCH("écossais",B231)),ISNUMBER(SEARCH("irlandais",B231)),ISNUMBER(SEARCH("russe",B231)),ISNUMBER(SEARCH("portugais",B231)),ISNUMBER(SEARCH("danois",B231)),ISNUMBER(SEARCH("norvégien",B231)),ISNUMBER(SEARCH("suédois",B231)),ISNUMBER(SEARCH("finlandais",B231)),ISNUMBER(SEARCH("polonais",B231)),ISNUMBER(SEARCH("tchèque",B231)),ISNUMBER(SEARCH("hongrois",B231)),ISNUMBER(SEARCH("grec",B231)),ISNUMBER(SEARCH("byzantin",B231)),ISNUMBER(SEARCH("croate",B231)),ISNUMBER(SEARCH("ukrainien",B231)),ISNUMBER(SEARCH("bulgare",B231)),ISNUMBER(SEARCH("biélorusse",B231)),ISNUMBER(SEARCH("maltais",B231))),"Autres pays d'Europe",IF(OR(ISNUMBER(SEARCH("américain",B231)),ISNUMBER(SEARCH("mexicain",B231)),ISNUMBER(SEARCH("canadien",B231)),ISNUMBER(SEARCH("brésilien",B231)),ISNUMBER(SEARCH("argentin",B231))),"Amérique",IF(OR(ISNUMBER(SEARCH("chinois",B231)),ISNUMBER(SEARCH("japonais",B231)),ISNUMBER(SEARCH("coréen",B231)),ISNUMBER(SEARCH("indien",B231)),ISNUMBER(SEARCH("persan",B231)),ISNUMBER(SEARCH("iranien",B231))),"Asie","(non classée)"))))</f>
        <v/>
      </c>
    </row>
    <row r="232">
      <c r="A232" s="2" t="inlineStr">
        <is>
          <t>FRANCESCO HAYEZ</t>
        </is>
      </c>
      <c r="B232" s="2" t="inlineStr">
        <is>
          <t>italienne</t>
        </is>
      </c>
      <c r="C232" s="2" t="inlineStr">
        <is>
          <t>peinture</t>
        </is>
      </c>
      <c r="D232" s="2" t="inlineStr">
        <is>
          <t>19e</t>
        </is>
      </c>
      <c r="U232">
        <f>IF(ISNUMBER(SEARCH("fran",B232)),"France",IF(OR(ISNUMBER(SEARCH("italien",B232)),ISNUMBER(SEARCH("espagn",B232)),ISNUMBER(SEARCH("catalan",B232)),ISNUMBER(SEARCH("flamand",B232)),ISNUMBER(SEARCH("belge",B232)),ISNUMBER(SEARCH("hollandais",B232)),ISNUMBER(SEARCH("néerlandais",B232)),ISNUMBER(SEARCH("allemand",B232)),ISNUMBER(SEARCH("autrichien",B232)),ISNUMBER(SEARCH("suisse",B232)),ISNUMBER(SEARCH("anglais",B232)),ISNUMBER(SEARCH("britannique",B232)),ISNUMBER(SEARCH("écossais",B232)),ISNUMBER(SEARCH("irlandais",B232)),ISNUMBER(SEARCH("russe",B232)),ISNUMBER(SEARCH("portugais",B232)),ISNUMBER(SEARCH("danois",B232)),ISNUMBER(SEARCH("norvégien",B232)),ISNUMBER(SEARCH("suédois",B232)),ISNUMBER(SEARCH("finlandais",B232)),ISNUMBER(SEARCH("polonais",B232)),ISNUMBER(SEARCH("tchèque",B232)),ISNUMBER(SEARCH("hongrois",B232)),ISNUMBER(SEARCH("grec",B232)),ISNUMBER(SEARCH("byzantin",B232)),ISNUMBER(SEARCH("croate",B232)),ISNUMBER(SEARCH("ukrainien",B232)),ISNUMBER(SEARCH("bulgare",B232)),ISNUMBER(SEARCH("biélorusse",B232)),ISNUMBER(SEARCH("maltais",B232))),"Autres pays d'Europe",IF(OR(ISNUMBER(SEARCH("américain",B232)),ISNUMBER(SEARCH("mexicain",B232)),ISNUMBER(SEARCH("canadien",B232)),ISNUMBER(SEARCH("brésilien",B232)),ISNUMBER(SEARCH("argentin",B232))),"Amérique",IF(OR(ISNUMBER(SEARCH("chinois",B232)),ISNUMBER(SEARCH("japonais",B232)),ISNUMBER(SEARCH("coréen",B232)),ISNUMBER(SEARCH("indien",B232)),ISNUMBER(SEARCH("persan",B232)),ISNUMBER(SEARCH("iranien",B232))),"Asie","(non classée)"))))</f>
        <v/>
      </c>
    </row>
    <row r="233">
      <c r="A233" s="2" t="inlineStr">
        <is>
          <t>FRANCESCO LAURANA</t>
        </is>
      </c>
      <c r="B233" s="2" t="inlineStr">
        <is>
          <t>italienne</t>
        </is>
      </c>
      <c r="C233" s="2" t="inlineStr">
        <is>
          <t>sculpture</t>
        </is>
      </c>
      <c r="D233" s="2" t="inlineStr">
        <is>
          <t>15e</t>
        </is>
      </c>
      <c r="U233">
        <f>IF(ISNUMBER(SEARCH("fran",B233)),"France",IF(OR(ISNUMBER(SEARCH("italien",B233)),ISNUMBER(SEARCH("espagn",B233)),ISNUMBER(SEARCH("catalan",B233)),ISNUMBER(SEARCH("flamand",B233)),ISNUMBER(SEARCH("belge",B233)),ISNUMBER(SEARCH("hollandais",B233)),ISNUMBER(SEARCH("néerlandais",B233)),ISNUMBER(SEARCH("allemand",B233)),ISNUMBER(SEARCH("autrichien",B233)),ISNUMBER(SEARCH("suisse",B233)),ISNUMBER(SEARCH("anglais",B233)),ISNUMBER(SEARCH("britannique",B233)),ISNUMBER(SEARCH("écossais",B233)),ISNUMBER(SEARCH("irlandais",B233)),ISNUMBER(SEARCH("russe",B233)),ISNUMBER(SEARCH("portugais",B233)),ISNUMBER(SEARCH("danois",B233)),ISNUMBER(SEARCH("norvégien",B233)),ISNUMBER(SEARCH("suédois",B233)),ISNUMBER(SEARCH("finlandais",B233)),ISNUMBER(SEARCH("polonais",B233)),ISNUMBER(SEARCH("tchèque",B233)),ISNUMBER(SEARCH("hongrois",B233)),ISNUMBER(SEARCH("grec",B233)),ISNUMBER(SEARCH("byzantin",B233)),ISNUMBER(SEARCH("croate",B233)),ISNUMBER(SEARCH("ukrainien",B233)),ISNUMBER(SEARCH("bulgare",B233)),ISNUMBER(SEARCH("biélorusse",B233)),ISNUMBER(SEARCH("maltais",B233))),"Autres pays d'Europe",IF(OR(ISNUMBER(SEARCH("américain",B233)),ISNUMBER(SEARCH("mexicain",B233)),ISNUMBER(SEARCH("canadien",B233)),ISNUMBER(SEARCH("brésilien",B233)),ISNUMBER(SEARCH("argentin",B233))),"Amérique",IF(OR(ISNUMBER(SEARCH("chinois",B233)),ISNUMBER(SEARCH("japonais",B233)),ISNUMBER(SEARCH("coréen",B233)),ISNUMBER(SEARCH("indien",B233)),ISNUMBER(SEARCH("persan",B233)),ISNUMBER(SEARCH("iranien",B233))),"Asie","(non classée)"))))</f>
        <v/>
      </c>
    </row>
    <row r="234">
      <c r="A234" s="2" t="inlineStr">
        <is>
          <t>FRANCESCO MOCHI</t>
        </is>
      </c>
      <c r="B234" s="2" t="inlineStr">
        <is>
          <t>italienne</t>
        </is>
      </c>
      <c r="C234" s="2" t="inlineStr">
        <is>
          <t>sculpture</t>
        </is>
      </c>
      <c r="D234" s="2" t="inlineStr">
        <is>
          <t>17e</t>
        </is>
      </c>
      <c r="U234">
        <f>IF(ISNUMBER(SEARCH("fran",B234)),"France",IF(OR(ISNUMBER(SEARCH("italien",B234)),ISNUMBER(SEARCH("espagn",B234)),ISNUMBER(SEARCH("catalan",B234)),ISNUMBER(SEARCH("flamand",B234)),ISNUMBER(SEARCH("belge",B234)),ISNUMBER(SEARCH("hollandais",B234)),ISNUMBER(SEARCH("néerlandais",B234)),ISNUMBER(SEARCH("allemand",B234)),ISNUMBER(SEARCH("autrichien",B234)),ISNUMBER(SEARCH("suisse",B234)),ISNUMBER(SEARCH("anglais",B234)),ISNUMBER(SEARCH("britannique",B234)),ISNUMBER(SEARCH("écossais",B234)),ISNUMBER(SEARCH("irlandais",B234)),ISNUMBER(SEARCH("russe",B234)),ISNUMBER(SEARCH("portugais",B234)),ISNUMBER(SEARCH("danois",B234)),ISNUMBER(SEARCH("norvégien",B234)),ISNUMBER(SEARCH("suédois",B234)),ISNUMBER(SEARCH("finlandais",B234)),ISNUMBER(SEARCH("polonais",B234)),ISNUMBER(SEARCH("tchèque",B234)),ISNUMBER(SEARCH("hongrois",B234)),ISNUMBER(SEARCH("grec",B234)),ISNUMBER(SEARCH("byzantin",B234)),ISNUMBER(SEARCH("croate",B234)),ISNUMBER(SEARCH("ukrainien",B234)),ISNUMBER(SEARCH("bulgare",B234)),ISNUMBER(SEARCH("biélorusse",B234)),ISNUMBER(SEARCH("maltais",B234))),"Autres pays d'Europe",IF(OR(ISNUMBER(SEARCH("américain",B234)),ISNUMBER(SEARCH("mexicain",B234)),ISNUMBER(SEARCH("canadien",B234)),ISNUMBER(SEARCH("brésilien",B234)),ISNUMBER(SEARCH("argentin",B234))),"Amérique",IF(OR(ISNUMBER(SEARCH("chinois",B234)),ISNUMBER(SEARCH("japonais",B234)),ISNUMBER(SEARCH("coréen",B234)),ISNUMBER(SEARCH("indien",B234)),ISNUMBER(SEARCH("persan",B234)),ISNUMBER(SEARCH("iranien",B234))),"Asie","(non classée)"))))</f>
        <v/>
      </c>
    </row>
    <row r="235">
      <c r="A235" s="2" t="inlineStr">
        <is>
          <t>FRANCESCO MARIA SCHIAFFINO</t>
        </is>
      </c>
      <c r="B235" s="2" t="inlineStr">
        <is>
          <t>italienne</t>
        </is>
      </c>
      <c r="C235" s="2" t="inlineStr">
        <is>
          <t>sculpture</t>
        </is>
      </c>
      <c r="D235" s="2" t="inlineStr">
        <is>
          <t>18e</t>
        </is>
      </c>
      <c r="U235">
        <f>IF(ISNUMBER(SEARCH("fran",B235)),"France",IF(OR(ISNUMBER(SEARCH("italien",B235)),ISNUMBER(SEARCH("espagn",B235)),ISNUMBER(SEARCH("catalan",B235)),ISNUMBER(SEARCH("flamand",B235)),ISNUMBER(SEARCH("belge",B235)),ISNUMBER(SEARCH("hollandais",B235)),ISNUMBER(SEARCH("néerlandais",B235)),ISNUMBER(SEARCH("allemand",B235)),ISNUMBER(SEARCH("autrichien",B235)),ISNUMBER(SEARCH("suisse",B235)),ISNUMBER(SEARCH("anglais",B235)),ISNUMBER(SEARCH("britannique",B235)),ISNUMBER(SEARCH("écossais",B235)),ISNUMBER(SEARCH("irlandais",B235)),ISNUMBER(SEARCH("russe",B235)),ISNUMBER(SEARCH("portugais",B235)),ISNUMBER(SEARCH("danois",B235)),ISNUMBER(SEARCH("norvégien",B235)),ISNUMBER(SEARCH("suédois",B235)),ISNUMBER(SEARCH("finlandais",B235)),ISNUMBER(SEARCH("polonais",B235)),ISNUMBER(SEARCH("tchèque",B235)),ISNUMBER(SEARCH("hongrois",B235)),ISNUMBER(SEARCH("grec",B235)),ISNUMBER(SEARCH("byzantin",B235)),ISNUMBER(SEARCH("croate",B235)),ISNUMBER(SEARCH("ukrainien",B235)),ISNUMBER(SEARCH("bulgare",B235)),ISNUMBER(SEARCH("biélorusse",B235)),ISNUMBER(SEARCH("maltais",B235))),"Autres pays d'Europe",IF(OR(ISNUMBER(SEARCH("américain",B235)),ISNUMBER(SEARCH("mexicain",B235)),ISNUMBER(SEARCH("canadien",B235)),ISNUMBER(SEARCH("brésilien",B235)),ISNUMBER(SEARCH("argentin",B235))),"Amérique",IF(OR(ISNUMBER(SEARCH("chinois",B235)),ISNUMBER(SEARCH("japonais",B235)),ISNUMBER(SEARCH("coréen",B235)),ISNUMBER(SEARCH("indien",B235)),ISNUMBER(SEARCH("persan",B235)),ISNUMBER(SEARCH("iranien",B235))),"Asie","(non classée)"))))</f>
        <v/>
      </c>
    </row>
    <row r="236">
      <c r="A236" s="2" t="inlineStr">
        <is>
          <t>FRANCESCO QUEIROLO</t>
        </is>
      </c>
      <c r="B236" s="2" t="inlineStr">
        <is>
          <t>italienne</t>
        </is>
      </c>
      <c r="C236" s="2" t="inlineStr">
        <is>
          <t>sculpture</t>
        </is>
      </c>
      <c r="D236" s="2" t="inlineStr">
        <is>
          <t>18e</t>
        </is>
      </c>
      <c r="U236">
        <f>IF(ISNUMBER(SEARCH("fran",B236)),"France",IF(OR(ISNUMBER(SEARCH("italien",B236)),ISNUMBER(SEARCH("espagn",B236)),ISNUMBER(SEARCH("catalan",B236)),ISNUMBER(SEARCH("flamand",B236)),ISNUMBER(SEARCH("belge",B236)),ISNUMBER(SEARCH("hollandais",B236)),ISNUMBER(SEARCH("néerlandais",B236)),ISNUMBER(SEARCH("allemand",B236)),ISNUMBER(SEARCH("autrichien",B236)),ISNUMBER(SEARCH("suisse",B236)),ISNUMBER(SEARCH("anglais",B236)),ISNUMBER(SEARCH("britannique",B236)),ISNUMBER(SEARCH("écossais",B236)),ISNUMBER(SEARCH("irlandais",B236)),ISNUMBER(SEARCH("russe",B236)),ISNUMBER(SEARCH("portugais",B236)),ISNUMBER(SEARCH("danois",B236)),ISNUMBER(SEARCH("norvégien",B236)),ISNUMBER(SEARCH("suédois",B236)),ISNUMBER(SEARCH("finlandais",B236)),ISNUMBER(SEARCH("polonais",B236)),ISNUMBER(SEARCH("tchèque",B236)),ISNUMBER(SEARCH("hongrois",B236)),ISNUMBER(SEARCH("grec",B236)),ISNUMBER(SEARCH("byzantin",B236)),ISNUMBER(SEARCH("croate",B236)),ISNUMBER(SEARCH("ukrainien",B236)),ISNUMBER(SEARCH("bulgare",B236)),ISNUMBER(SEARCH("biélorusse",B236)),ISNUMBER(SEARCH("maltais",B236))),"Autres pays d'Europe",IF(OR(ISNUMBER(SEARCH("américain",B236)),ISNUMBER(SEARCH("mexicain",B236)),ISNUMBER(SEARCH("canadien",B236)),ISNUMBER(SEARCH("brésilien",B236)),ISNUMBER(SEARCH("argentin",B236))),"Amérique",IF(OR(ISNUMBER(SEARCH("chinois",B236)),ISNUMBER(SEARCH("japonais",B236)),ISNUMBER(SEARCH("coréen",B236)),ISNUMBER(SEARCH("indien",B236)),ISNUMBER(SEARCH("persan",B236)),ISNUMBER(SEARCH("iranien",B236))),"Asie","(non classée)"))))</f>
        <v/>
      </c>
    </row>
    <row r="237">
      <c r="A237" s="2" t="inlineStr">
        <is>
          <t>FRANCESCO TRAINI</t>
        </is>
      </c>
      <c r="B237" s="2" t="inlineStr">
        <is>
          <t>italienne</t>
        </is>
      </c>
      <c r="C237" s="2" t="inlineStr">
        <is>
          <t>peinture</t>
        </is>
      </c>
      <c r="D237" s="2" t="inlineStr">
        <is>
          <t>14e</t>
        </is>
      </c>
      <c r="U237">
        <f>IF(ISNUMBER(SEARCH("fran",B237)),"France",IF(OR(ISNUMBER(SEARCH("italien",B237)),ISNUMBER(SEARCH("espagn",B237)),ISNUMBER(SEARCH("catalan",B237)),ISNUMBER(SEARCH("flamand",B237)),ISNUMBER(SEARCH("belge",B237)),ISNUMBER(SEARCH("hollandais",B237)),ISNUMBER(SEARCH("néerlandais",B237)),ISNUMBER(SEARCH("allemand",B237)),ISNUMBER(SEARCH("autrichien",B237)),ISNUMBER(SEARCH("suisse",B237)),ISNUMBER(SEARCH("anglais",B237)),ISNUMBER(SEARCH("britannique",B237)),ISNUMBER(SEARCH("écossais",B237)),ISNUMBER(SEARCH("irlandais",B237)),ISNUMBER(SEARCH("russe",B237)),ISNUMBER(SEARCH("portugais",B237)),ISNUMBER(SEARCH("danois",B237)),ISNUMBER(SEARCH("norvégien",B237)),ISNUMBER(SEARCH("suédois",B237)),ISNUMBER(SEARCH("finlandais",B237)),ISNUMBER(SEARCH("polonais",B237)),ISNUMBER(SEARCH("tchèque",B237)),ISNUMBER(SEARCH("hongrois",B237)),ISNUMBER(SEARCH("grec",B237)),ISNUMBER(SEARCH("byzantin",B237)),ISNUMBER(SEARCH("croate",B237)),ISNUMBER(SEARCH("ukrainien",B237)),ISNUMBER(SEARCH("bulgare",B237)),ISNUMBER(SEARCH("biélorusse",B237)),ISNUMBER(SEARCH("maltais",B237))),"Autres pays d'Europe",IF(OR(ISNUMBER(SEARCH("américain",B237)),ISNUMBER(SEARCH("mexicain",B237)),ISNUMBER(SEARCH("canadien",B237)),ISNUMBER(SEARCH("brésilien",B237)),ISNUMBER(SEARCH("argentin",B237))),"Amérique",IF(OR(ISNUMBER(SEARCH("chinois",B237)),ISNUMBER(SEARCH("japonais",B237)),ISNUMBER(SEARCH("coréen",B237)),ISNUMBER(SEARCH("indien",B237)),ISNUMBER(SEARCH("persan",B237)),ISNUMBER(SEARCH("iranien",B237))),"Asie","(non classée)"))))</f>
        <v/>
      </c>
    </row>
    <row r="238">
      <c r="A238" s="2" t="inlineStr">
        <is>
          <t>FRANCESCO DA SANGALLO</t>
        </is>
      </c>
      <c r="B238" s="2" t="inlineStr">
        <is>
          <t>italienne</t>
        </is>
      </c>
      <c r="C238" s="2" t="inlineStr">
        <is>
          <t>sculpture</t>
        </is>
      </c>
      <c r="D238" s="2" t="inlineStr">
        <is>
          <t>16e</t>
        </is>
      </c>
      <c r="U238">
        <f>IF(ISNUMBER(SEARCH("fran",B238)),"France",IF(OR(ISNUMBER(SEARCH("italien",B238)),ISNUMBER(SEARCH("espagn",B238)),ISNUMBER(SEARCH("catalan",B238)),ISNUMBER(SEARCH("flamand",B238)),ISNUMBER(SEARCH("belge",B238)),ISNUMBER(SEARCH("hollandais",B238)),ISNUMBER(SEARCH("néerlandais",B238)),ISNUMBER(SEARCH("allemand",B238)),ISNUMBER(SEARCH("autrichien",B238)),ISNUMBER(SEARCH("suisse",B238)),ISNUMBER(SEARCH("anglais",B238)),ISNUMBER(SEARCH("britannique",B238)),ISNUMBER(SEARCH("écossais",B238)),ISNUMBER(SEARCH("irlandais",B238)),ISNUMBER(SEARCH("russe",B238)),ISNUMBER(SEARCH("portugais",B238)),ISNUMBER(SEARCH("danois",B238)),ISNUMBER(SEARCH("norvégien",B238)),ISNUMBER(SEARCH("suédois",B238)),ISNUMBER(SEARCH("finlandais",B238)),ISNUMBER(SEARCH("polonais",B238)),ISNUMBER(SEARCH("tchèque",B238)),ISNUMBER(SEARCH("hongrois",B238)),ISNUMBER(SEARCH("grec",B238)),ISNUMBER(SEARCH("byzantin",B238)),ISNUMBER(SEARCH("croate",B238)),ISNUMBER(SEARCH("ukrainien",B238)),ISNUMBER(SEARCH("bulgare",B238)),ISNUMBER(SEARCH("biélorusse",B238)),ISNUMBER(SEARCH("maltais",B238))),"Autres pays d'Europe",IF(OR(ISNUMBER(SEARCH("américain",B238)),ISNUMBER(SEARCH("mexicain",B238)),ISNUMBER(SEARCH("canadien",B238)),ISNUMBER(SEARCH("brésilien",B238)),ISNUMBER(SEARCH("argentin",B238))),"Amérique",IF(OR(ISNUMBER(SEARCH("chinois",B238)),ISNUMBER(SEARCH("japonais",B238)),ISNUMBER(SEARCH("coréen",B238)),ISNUMBER(SEARCH("indien",B238)),ISNUMBER(SEARCH("persan",B238)),ISNUMBER(SEARCH("iranien",B238))),"Asie","(non classée)"))))</f>
        <v/>
      </c>
    </row>
    <row r="239">
      <c r="A239" s="2" t="inlineStr">
        <is>
          <t>FRANCESCO DEL COSSA</t>
        </is>
      </c>
      <c r="B239" s="2" t="inlineStr">
        <is>
          <t>italienne</t>
        </is>
      </c>
      <c r="C239" s="2" t="inlineStr">
        <is>
          <t>peinture</t>
        </is>
      </c>
      <c r="D239" s="2" t="inlineStr">
        <is>
          <t>15e</t>
        </is>
      </c>
      <c r="U239">
        <f>IF(ISNUMBER(SEARCH("fran",B239)),"France",IF(OR(ISNUMBER(SEARCH("italien",B239)),ISNUMBER(SEARCH("espagn",B239)),ISNUMBER(SEARCH("catalan",B239)),ISNUMBER(SEARCH("flamand",B239)),ISNUMBER(SEARCH("belge",B239)),ISNUMBER(SEARCH("hollandais",B239)),ISNUMBER(SEARCH("néerlandais",B239)),ISNUMBER(SEARCH("allemand",B239)),ISNUMBER(SEARCH("autrichien",B239)),ISNUMBER(SEARCH("suisse",B239)),ISNUMBER(SEARCH("anglais",B239)),ISNUMBER(SEARCH("britannique",B239)),ISNUMBER(SEARCH("écossais",B239)),ISNUMBER(SEARCH("irlandais",B239)),ISNUMBER(SEARCH("russe",B239)),ISNUMBER(SEARCH("portugais",B239)),ISNUMBER(SEARCH("danois",B239)),ISNUMBER(SEARCH("norvégien",B239)),ISNUMBER(SEARCH("suédois",B239)),ISNUMBER(SEARCH("finlandais",B239)),ISNUMBER(SEARCH("polonais",B239)),ISNUMBER(SEARCH("tchèque",B239)),ISNUMBER(SEARCH("hongrois",B239)),ISNUMBER(SEARCH("grec",B239)),ISNUMBER(SEARCH("byzantin",B239)),ISNUMBER(SEARCH("croate",B239)),ISNUMBER(SEARCH("ukrainien",B239)),ISNUMBER(SEARCH("bulgare",B239)),ISNUMBER(SEARCH("biélorusse",B239)),ISNUMBER(SEARCH("maltais",B239))),"Autres pays d'Europe",IF(OR(ISNUMBER(SEARCH("américain",B239)),ISNUMBER(SEARCH("mexicain",B239)),ISNUMBER(SEARCH("canadien",B239)),ISNUMBER(SEARCH("brésilien",B239)),ISNUMBER(SEARCH("argentin",B239))),"Amérique",IF(OR(ISNUMBER(SEARCH("chinois",B239)),ISNUMBER(SEARCH("japonais",B239)),ISNUMBER(SEARCH("coréen",B239)),ISNUMBER(SEARCH("indien",B239)),ISNUMBER(SEARCH("persan",B239)),ISNUMBER(SEARCH("iranien",B239))),"Asie","(non classée)"))))</f>
        <v/>
      </c>
    </row>
    <row r="240">
      <c r="A240" s="2" t="inlineStr">
        <is>
          <t>FRANCESCO DI GIORGIO MARTINI</t>
        </is>
      </c>
      <c r="B240" s="2" t="inlineStr">
        <is>
          <t>italienne</t>
        </is>
      </c>
      <c r="C240" s="2" t="inlineStr">
        <is>
          <t>sculpture</t>
        </is>
      </c>
      <c r="D240" s="2" t="inlineStr">
        <is>
          <t>15e</t>
        </is>
      </c>
      <c r="U240">
        <f>IF(ISNUMBER(SEARCH("fran",B240)),"France",IF(OR(ISNUMBER(SEARCH("italien",B240)),ISNUMBER(SEARCH("espagn",B240)),ISNUMBER(SEARCH("catalan",B240)),ISNUMBER(SEARCH("flamand",B240)),ISNUMBER(SEARCH("belge",B240)),ISNUMBER(SEARCH("hollandais",B240)),ISNUMBER(SEARCH("néerlandais",B240)),ISNUMBER(SEARCH("allemand",B240)),ISNUMBER(SEARCH("autrichien",B240)),ISNUMBER(SEARCH("suisse",B240)),ISNUMBER(SEARCH("anglais",B240)),ISNUMBER(SEARCH("britannique",B240)),ISNUMBER(SEARCH("écossais",B240)),ISNUMBER(SEARCH("irlandais",B240)),ISNUMBER(SEARCH("russe",B240)),ISNUMBER(SEARCH("portugais",B240)),ISNUMBER(SEARCH("danois",B240)),ISNUMBER(SEARCH("norvégien",B240)),ISNUMBER(SEARCH("suédois",B240)),ISNUMBER(SEARCH("finlandais",B240)),ISNUMBER(SEARCH("polonais",B240)),ISNUMBER(SEARCH("tchèque",B240)),ISNUMBER(SEARCH("hongrois",B240)),ISNUMBER(SEARCH("grec",B240)),ISNUMBER(SEARCH("byzantin",B240)),ISNUMBER(SEARCH("croate",B240)),ISNUMBER(SEARCH("ukrainien",B240)),ISNUMBER(SEARCH("bulgare",B240)),ISNUMBER(SEARCH("biélorusse",B240)),ISNUMBER(SEARCH("maltais",B240))),"Autres pays d'Europe",IF(OR(ISNUMBER(SEARCH("américain",B240)),ISNUMBER(SEARCH("mexicain",B240)),ISNUMBER(SEARCH("canadien",B240)),ISNUMBER(SEARCH("brésilien",B240)),ISNUMBER(SEARCH("argentin",B240))),"Amérique",IF(OR(ISNUMBER(SEARCH("chinois",B240)),ISNUMBER(SEARCH("japonais",B240)),ISNUMBER(SEARCH("coréen",B240)),ISNUMBER(SEARCH("indien",B240)),ISNUMBER(SEARCH("persan",B240)),ISNUMBER(SEARCH("iranien",B240))),"Asie","(non classée)"))))</f>
        <v/>
      </c>
    </row>
    <row r="241">
      <c r="A241" s="2" t="inlineStr">
        <is>
          <t>FRANCIS CHANTREY</t>
        </is>
      </c>
      <c r="B241" s="2" t="inlineStr">
        <is>
          <t>anglaise (Royaume-Uni)</t>
        </is>
      </c>
      <c r="C241" s="2" t="inlineStr">
        <is>
          <t>sculpture</t>
        </is>
      </c>
      <c r="D241" s="2" t="inlineStr">
        <is>
          <t>19e</t>
        </is>
      </c>
      <c r="U241">
        <f>IF(ISNUMBER(SEARCH("fran",B241)),"France",IF(OR(ISNUMBER(SEARCH("italien",B241)),ISNUMBER(SEARCH("espagn",B241)),ISNUMBER(SEARCH("catalan",B241)),ISNUMBER(SEARCH("flamand",B241)),ISNUMBER(SEARCH("belge",B241)),ISNUMBER(SEARCH("hollandais",B241)),ISNUMBER(SEARCH("néerlandais",B241)),ISNUMBER(SEARCH("allemand",B241)),ISNUMBER(SEARCH("autrichien",B241)),ISNUMBER(SEARCH("suisse",B241)),ISNUMBER(SEARCH("anglais",B241)),ISNUMBER(SEARCH("britannique",B241)),ISNUMBER(SEARCH("écossais",B241)),ISNUMBER(SEARCH("irlandais",B241)),ISNUMBER(SEARCH("russe",B241)),ISNUMBER(SEARCH("portugais",B241)),ISNUMBER(SEARCH("danois",B241)),ISNUMBER(SEARCH("norvégien",B241)),ISNUMBER(SEARCH("suédois",B241)),ISNUMBER(SEARCH("finlandais",B241)),ISNUMBER(SEARCH("polonais",B241)),ISNUMBER(SEARCH("tchèque",B241)),ISNUMBER(SEARCH("hongrois",B241)),ISNUMBER(SEARCH("grec",B241)),ISNUMBER(SEARCH("byzantin",B241)),ISNUMBER(SEARCH("croate",B241)),ISNUMBER(SEARCH("ukrainien",B241)),ISNUMBER(SEARCH("bulgare",B241)),ISNUMBER(SEARCH("biélorusse",B241)),ISNUMBER(SEARCH("maltais",B241))),"Autres pays d'Europe",IF(OR(ISNUMBER(SEARCH("américain",B241)),ISNUMBER(SEARCH("mexicain",B241)),ISNUMBER(SEARCH("canadien",B241)),ISNUMBER(SEARCH("brésilien",B241)),ISNUMBER(SEARCH("argentin",B241))),"Amérique",IF(OR(ISNUMBER(SEARCH("chinois",B241)),ISNUMBER(SEARCH("japonais",B241)),ISNUMBER(SEARCH("coréen",B241)),ISNUMBER(SEARCH("indien",B241)),ISNUMBER(SEARCH("persan",B241)),ISNUMBER(SEARCH("iranien",B241))),"Asie","(non classée)"))))</f>
        <v/>
      </c>
    </row>
    <row r="242">
      <c r="A242" s="2" t="inlineStr">
        <is>
          <t>FRANCIS PICABIA</t>
        </is>
      </c>
      <c r="B242" s="2" t="inlineStr">
        <is>
          <t>française</t>
        </is>
      </c>
      <c r="C242" s="2" t="inlineStr">
        <is>
          <t>peinture</t>
        </is>
      </c>
      <c r="D242" s="2" t="inlineStr">
        <is>
          <t>20e</t>
        </is>
      </c>
      <c r="U242">
        <f>IF(ISNUMBER(SEARCH("fran",B242)),"France",IF(OR(ISNUMBER(SEARCH("italien",B242)),ISNUMBER(SEARCH("espagn",B242)),ISNUMBER(SEARCH("catalan",B242)),ISNUMBER(SEARCH("flamand",B242)),ISNUMBER(SEARCH("belge",B242)),ISNUMBER(SEARCH("hollandais",B242)),ISNUMBER(SEARCH("néerlandais",B242)),ISNUMBER(SEARCH("allemand",B242)),ISNUMBER(SEARCH("autrichien",B242)),ISNUMBER(SEARCH("suisse",B242)),ISNUMBER(SEARCH("anglais",B242)),ISNUMBER(SEARCH("britannique",B242)),ISNUMBER(SEARCH("écossais",B242)),ISNUMBER(SEARCH("irlandais",B242)),ISNUMBER(SEARCH("russe",B242)),ISNUMBER(SEARCH("portugais",B242)),ISNUMBER(SEARCH("danois",B242)),ISNUMBER(SEARCH("norvégien",B242)),ISNUMBER(SEARCH("suédois",B242)),ISNUMBER(SEARCH("finlandais",B242)),ISNUMBER(SEARCH("polonais",B242)),ISNUMBER(SEARCH("tchèque",B242)),ISNUMBER(SEARCH("hongrois",B242)),ISNUMBER(SEARCH("grec",B242)),ISNUMBER(SEARCH("byzantin",B242)),ISNUMBER(SEARCH("croate",B242)),ISNUMBER(SEARCH("ukrainien",B242)),ISNUMBER(SEARCH("bulgare",B242)),ISNUMBER(SEARCH("biélorusse",B242)),ISNUMBER(SEARCH("maltais",B242))),"Autres pays d'Europe",IF(OR(ISNUMBER(SEARCH("américain",B242)),ISNUMBER(SEARCH("mexicain",B242)),ISNUMBER(SEARCH("canadien",B242)),ISNUMBER(SEARCH("brésilien",B242)),ISNUMBER(SEARCH("argentin",B242))),"Amérique",IF(OR(ISNUMBER(SEARCH("chinois",B242)),ISNUMBER(SEARCH("japonais",B242)),ISNUMBER(SEARCH("coréen",B242)),ISNUMBER(SEARCH("indien",B242)),ISNUMBER(SEARCH("persan",B242)),ISNUMBER(SEARCH("iranien",B242))),"Asie","(non classée)"))))</f>
        <v/>
      </c>
    </row>
    <row r="243">
      <c r="A243" s="2" t="inlineStr">
        <is>
          <t>FRANCISCO SALZILLO</t>
        </is>
      </c>
      <c r="B243" s="2" t="inlineStr">
        <is>
          <t>espagnole</t>
        </is>
      </c>
      <c r="C243" s="2" t="inlineStr">
        <is>
          <t>sculpture</t>
        </is>
      </c>
      <c r="D243" s="2" t="inlineStr">
        <is>
          <t>18e</t>
        </is>
      </c>
      <c r="U243">
        <f>IF(ISNUMBER(SEARCH("fran",B243)),"France",IF(OR(ISNUMBER(SEARCH("italien",B243)),ISNUMBER(SEARCH("espagn",B243)),ISNUMBER(SEARCH("catalan",B243)),ISNUMBER(SEARCH("flamand",B243)),ISNUMBER(SEARCH("belge",B243)),ISNUMBER(SEARCH("hollandais",B243)),ISNUMBER(SEARCH("néerlandais",B243)),ISNUMBER(SEARCH("allemand",B243)),ISNUMBER(SEARCH("autrichien",B243)),ISNUMBER(SEARCH("suisse",B243)),ISNUMBER(SEARCH("anglais",B243)),ISNUMBER(SEARCH("britannique",B243)),ISNUMBER(SEARCH("écossais",B243)),ISNUMBER(SEARCH("irlandais",B243)),ISNUMBER(SEARCH("russe",B243)),ISNUMBER(SEARCH("portugais",B243)),ISNUMBER(SEARCH("danois",B243)),ISNUMBER(SEARCH("norvégien",B243)),ISNUMBER(SEARCH("suédois",B243)),ISNUMBER(SEARCH("finlandais",B243)),ISNUMBER(SEARCH("polonais",B243)),ISNUMBER(SEARCH("tchèque",B243)),ISNUMBER(SEARCH("hongrois",B243)),ISNUMBER(SEARCH("grec",B243)),ISNUMBER(SEARCH("byzantin",B243)),ISNUMBER(SEARCH("croate",B243)),ISNUMBER(SEARCH("ukrainien",B243)),ISNUMBER(SEARCH("bulgare",B243)),ISNUMBER(SEARCH("biélorusse",B243)),ISNUMBER(SEARCH("maltais",B243))),"Autres pays d'Europe",IF(OR(ISNUMBER(SEARCH("américain",B243)),ISNUMBER(SEARCH("mexicain",B243)),ISNUMBER(SEARCH("canadien",B243)),ISNUMBER(SEARCH("brésilien",B243)),ISNUMBER(SEARCH("argentin",B243))),"Amérique",IF(OR(ISNUMBER(SEARCH("chinois",B243)),ISNUMBER(SEARCH("japonais",B243)),ISNUMBER(SEARCH("coréen",B243)),ISNUMBER(SEARCH("indien",B243)),ISNUMBER(SEARCH("persan",B243)),ISNUMBER(SEARCH("iranien",B243))),"Asie","(non classée)"))))</f>
        <v/>
      </c>
    </row>
    <row r="244">
      <c r="A244" s="2" t="inlineStr">
        <is>
          <t>FRANCISCO DE GOYA</t>
        </is>
      </c>
      <c r="B244" s="2" t="inlineStr">
        <is>
          <t>espagnole</t>
        </is>
      </c>
      <c r="C244" s="2" t="inlineStr">
        <is>
          <t>peinture</t>
        </is>
      </c>
      <c r="D244" s="2" t="inlineStr">
        <is>
          <t>18e, 19e</t>
        </is>
      </c>
      <c r="U244">
        <f>IF(ISNUMBER(SEARCH("fran",B244)),"France",IF(OR(ISNUMBER(SEARCH("italien",B244)),ISNUMBER(SEARCH("espagn",B244)),ISNUMBER(SEARCH("catalan",B244)),ISNUMBER(SEARCH("flamand",B244)),ISNUMBER(SEARCH("belge",B244)),ISNUMBER(SEARCH("hollandais",B244)),ISNUMBER(SEARCH("néerlandais",B244)),ISNUMBER(SEARCH("allemand",B244)),ISNUMBER(SEARCH("autrichien",B244)),ISNUMBER(SEARCH("suisse",B244)),ISNUMBER(SEARCH("anglais",B244)),ISNUMBER(SEARCH("britannique",B244)),ISNUMBER(SEARCH("écossais",B244)),ISNUMBER(SEARCH("irlandais",B244)),ISNUMBER(SEARCH("russe",B244)),ISNUMBER(SEARCH("portugais",B244)),ISNUMBER(SEARCH("danois",B244)),ISNUMBER(SEARCH("norvégien",B244)),ISNUMBER(SEARCH("suédois",B244)),ISNUMBER(SEARCH("finlandais",B244)),ISNUMBER(SEARCH("polonais",B244)),ISNUMBER(SEARCH("tchèque",B244)),ISNUMBER(SEARCH("hongrois",B244)),ISNUMBER(SEARCH("grec",B244)),ISNUMBER(SEARCH("byzantin",B244)),ISNUMBER(SEARCH("croate",B244)),ISNUMBER(SEARCH("ukrainien",B244)),ISNUMBER(SEARCH("bulgare",B244)),ISNUMBER(SEARCH("biélorusse",B244)),ISNUMBER(SEARCH("maltais",B244))),"Autres pays d'Europe",IF(OR(ISNUMBER(SEARCH("américain",B244)),ISNUMBER(SEARCH("mexicain",B244)),ISNUMBER(SEARCH("canadien",B244)),ISNUMBER(SEARCH("brésilien",B244)),ISNUMBER(SEARCH("argentin",B244))),"Amérique",IF(OR(ISNUMBER(SEARCH("chinois",B244)),ISNUMBER(SEARCH("japonais",B244)),ISNUMBER(SEARCH("coréen",B244)),ISNUMBER(SEARCH("indien",B244)),ISNUMBER(SEARCH("persan",B244)),ISNUMBER(SEARCH("iranien",B244))),"Asie","(non classée)"))))</f>
        <v/>
      </c>
    </row>
    <row r="245">
      <c r="A245" s="2" t="inlineStr">
        <is>
          <t>FRANCISCO DE ZURBARÁN</t>
        </is>
      </c>
      <c r="B245" s="2" t="inlineStr">
        <is>
          <t>espagnole</t>
        </is>
      </c>
      <c r="C245" s="2" t="inlineStr">
        <is>
          <t>peinture</t>
        </is>
      </c>
      <c r="D245" s="2" t="inlineStr">
        <is>
          <t>17e</t>
        </is>
      </c>
      <c r="U245">
        <f>IF(ISNUMBER(SEARCH("fran",B245)),"France",IF(OR(ISNUMBER(SEARCH("italien",B245)),ISNUMBER(SEARCH("espagn",B245)),ISNUMBER(SEARCH("catalan",B245)),ISNUMBER(SEARCH("flamand",B245)),ISNUMBER(SEARCH("belge",B245)),ISNUMBER(SEARCH("hollandais",B245)),ISNUMBER(SEARCH("néerlandais",B245)),ISNUMBER(SEARCH("allemand",B245)),ISNUMBER(SEARCH("autrichien",B245)),ISNUMBER(SEARCH("suisse",B245)),ISNUMBER(SEARCH("anglais",B245)),ISNUMBER(SEARCH("britannique",B245)),ISNUMBER(SEARCH("écossais",B245)),ISNUMBER(SEARCH("irlandais",B245)),ISNUMBER(SEARCH("russe",B245)),ISNUMBER(SEARCH("portugais",B245)),ISNUMBER(SEARCH("danois",B245)),ISNUMBER(SEARCH("norvégien",B245)),ISNUMBER(SEARCH("suédois",B245)),ISNUMBER(SEARCH("finlandais",B245)),ISNUMBER(SEARCH("polonais",B245)),ISNUMBER(SEARCH("tchèque",B245)),ISNUMBER(SEARCH("hongrois",B245)),ISNUMBER(SEARCH("grec",B245)),ISNUMBER(SEARCH("byzantin",B245)),ISNUMBER(SEARCH("croate",B245)),ISNUMBER(SEARCH("ukrainien",B245)),ISNUMBER(SEARCH("bulgare",B245)),ISNUMBER(SEARCH("biélorusse",B245)),ISNUMBER(SEARCH("maltais",B245))),"Autres pays d'Europe",IF(OR(ISNUMBER(SEARCH("américain",B245)),ISNUMBER(SEARCH("mexicain",B245)),ISNUMBER(SEARCH("canadien",B245)),ISNUMBER(SEARCH("brésilien",B245)),ISNUMBER(SEARCH("argentin",B245))),"Amérique",IF(OR(ISNUMBER(SEARCH("chinois",B245)),ISNUMBER(SEARCH("japonais",B245)),ISNUMBER(SEARCH("coréen",B245)),ISNUMBER(SEARCH("indien",B245)),ISNUMBER(SEARCH("persan",B245)),ISNUMBER(SEARCH("iranien",B245))),"Asie","(non classée)"))))</f>
        <v/>
      </c>
    </row>
    <row r="246">
      <c r="A246" s="2" t="inlineStr">
        <is>
          <t>FRANS FLORIS</t>
        </is>
      </c>
      <c r="B246" s="2" t="inlineStr">
        <is>
          <t>flamande (Belgique)</t>
        </is>
      </c>
      <c r="C246" s="2" t="inlineStr">
        <is>
          <t>peinture</t>
        </is>
      </c>
      <c r="D246" s="2" t="inlineStr">
        <is>
          <t>16e</t>
        </is>
      </c>
      <c r="U246">
        <f>IF(ISNUMBER(SEARCH("fran",B246)),"France",IF(OR(ISNUMBER(SEARCH("italien",B246)),ISNUMBER(SEARCH("espagn",B246)),ISNUMBER(SEARCH("catalan",B246)),ISNUMBER(SEARCH("flamand",B246)),ISNUMBER(SEARCH("belge",B246)),ISNUMBER(SEARCH("hollandais",B246)),ISNUMBER(SEARCH("néerlandais",B246)),ISNUMBER(SEARCH("allemand",B246)),ISNUMBER(SEARCH("autrichien",B246)),ISNUMBER(SEARCH("suisse",B246)),ISNUMBER(SEARCH("anglais",B246)),ISNUMBER(SEARCH("britannique",B246)),ISNUMBER(SEARCH("écossais",B246)),ISNUMBER(SEARCH("irlandais",B246)),ISNUMBER(SEARCH("russe",B246)),ISNUMBER(SEARCH("portugais",B246)),ISNUMBER(SEARCH("danois",B246)),ISNUMBER(SEARCH("norvégien",B246)),ISNUMBER(SEARCH("suédois",B246)),ISNUMBER(SEARCH("finlandais",B246)),ISNUMBER(SEARCH("polonais",B246)),ISNUMBER(SEARCH("tchèque",B246)),ISNUMBER(SEARCH("hongrois",B246)),ISNUMBER(SEARCH("grec",B246)),ISNUMBER(SEARCH("byzantin",B246)),ISNUMBER(SEARCH("croate",B246)),ISNUMBER(SEARCH("ukrainien",B246)),ISNUMBER(SEARCH("bulgare",B246)),ISNUMBER(SEARCH("biélorusse",B246)),ISNUMBER(SEARCH("maltais",B246))),"Autres pays d'Europe",IF(OR(ISNUMBER(SEARCH("américain",B246)),ISNUMBER(SEARCH("mexicain",B246)),ISNUMBER(SEARCH("canadien",B246)),ISNUMBER(SEARCH("brésilien",B246)),ISNUMBER(SEARCH("argentin",B246))),"Amérique",IF(OR(ISNUMBER(SEARCH("chinois",B246)),ISNUMBER(SEARCH("japonais",B246)),ISNUMBER(SEARCH("coréen",B246)),ISNUMBER(SEARCH("indien",B246)),ISNUMBER(SEARCH("persan",B246)),ISNUMBER(SEARCH("iranien",B246))),"Asie","(non classée)"))))</f>
        <v/>
      </c>
    </row>
    <row r="247">
      <c r="A247" s="2" t="inlineStr">
        <is>
          <t>FRANS HALS</t>
        </is>
      </c>
      <c r="B247" s="2" t="inlineStr">
        <is>
          <t>hollandaise (Pays-Bas)</t>
        </is>
      </c>
      <c r="C247" s="2" t="inlineStr">
        <is>
          <t>peinture</t>
        </is>
      </c>
      <c r="D247" s="2" t="inlineStr">
        <is>
          <t>17e</t>
        </is>
      </c>
      <c r="U247">
        <f>IF(ISNUMBER(SEARCH("fran",B247)),"France",IF(OR(ISNUMBER(SEARCH("italien",B247)),ISNUMBER(SEARCH("espagn",B247)),ISNUMBER(SEARCH("catalan",B247)),ISNUMBER(SEARCH("flamand",B247)),ISNUMBER(SEARCH("belge",B247)),ISNUMBER(SEARCH("hollandais",B247)),ISNUMBER(SEARCH("néerlandais",B247)),ISNUMBER(SEARCH("allemand",B247)),ISNUMBER(SEARCH("autrichien",B247)),ISNUMBER(SEARCH("suisse",B247)),ISNUMBER(SEARCH("anglais",B247)),ISNUMBER(SEARCH("britannique",B247)),ISNUMBER(SEARCH("écossais",B247)),ISNUMBER(SEARCH("irlandais",B247)),ISNUMBER(SEARCH("russe",B247)),ISNUMBER(SEARCH("portugais",B247)),ISNUMBER(SEARCH("danois",B247)),ISNUMBER(SEARCH("norvégien",B247)),ISNUMBER(SEARCH("suédois",B247)),ISNUMBER(SEARCH("finlandais",B247)),ISNUMBER(SEARCH("polonais",B247)),ISNUMBER(SEARCH("tchèque",B247)),ISNUMBER(SEARCH("hongrois",B247)),ISNUMBER(SEARCH("grec",B247)),ISNUMBER(SEARCH("byzantin",B247)),ISNUMBER(SEARCH("croate",B247)),ISNUMBER(SEARCH("ukrainien",B247)),ISNUMBER(SEARCH("bulgare",B247)),ISNUMBER(SEARCH("biélorusse",B247)),ISNUMBER(SEARCH("maltais",B247))),"Autres pays d'Europe",IF(OR(ISNUMBER(SEARCH("américain",B247)),ISNUMBER(SEARCH("mexicain",B247)),ISNUMBER(SEARCH("canadien",B247)),ISNUMBER(SEARCH("brésilien",B247)),ISNUMBER(SEARCH("argentin",B247))),"Amérique",IF(OR(ISNUMBER(SEARCH("chinois",B247)),ISNUMBER(SEARCH("japonais",B247)),ISNUMBER(SEARCH("coréen",B247)),ISNUMBER(SEARCH("indien",B247)),ISNUMBER(SEARCH("persan",B247)),ISNUMBER(SEARCH("iranien",B247))),"Asie","(non classée)"))))</f>
        <v/>
      </c>
    </row>
    <row r="248">
      <c r="A248" s="2" t="inlineStr">
        <is>
          <t>FRANS SNYDERS</t>
        </is>
      </c>
      <c r="B248" s="2" t="inlineStr">
        <is>
          <t>flamande (Belgique)</t>
        </is>
      </c>
      <c r="C248" s="2" t="inlineStr">
        <is>
          <t>peinture</t>
        </is>
      </c>
      <c r="D248" s="2" t="inlineStr">
        <is>
          <t>17e</t>
        </is>
      </c>
      <c r="U248">
        <f>IF(ISNUMBER(SEARCH("fran",B248)),"France",IF(OR(ISNUMBER(SEARCH("italien",B248)),ISNUMBER(SEARCH("espagn",B248)),ISNUMBER(SEARCH("catalan",B248)),ISNUMBER(SEARCH("flamand",B248)),ISNUMBER(SEARCH("belge",B248)),ISNUMBER(SEARCH("hollandais",B248)),ISNUMBER(SEARCH("néerlandais",B248)),ISNUMBER(SEARCH("allemand",B248)),ISNUMBER(SEARCH("autrichien",B248)),ISNUMBER(SEARCH("suisse",B248)),ISNUMBER(SEARCH("anglais",B248)),ISNUMBER(SEARCH("britannique",B248)),ISNUMBER(SEARCH("écossais",B248)),ISNUMBER(SEARCH("irlandais",B248)),ISNUMBER(SEARCH("russe",B248)),ISNUMBER(SEARCH("portugais",B248)),ISNUMBER(SEARCH("danois",B248)),ISNUMBER(SEARCH("norvégien",B248)),ISNUMBER(SEARCH("suédois",B248)),ISNUMBER(SEARCH("finlandais",B248)),ISNUMBER(SEARCH("polonais",B248)),ISNUMBER(SEARCH("tchèque",B248)),ISNUMBER(SEARCH("hongrois",B248)),ISNUMBER(SEARCH("grec",B248)),ISNUMBER(SEARCH("byzantin",B248)),ISNUMBER(SEARCH("croate",B248)),ISNUMBER(SEARCH("ukrainien",B248)),ISNUMBER(SEARCH("bulgare",B248)),ISNUMBER(SEARCH("biélorusse",B248)),ISNUMBER(SEARCH("maltais",B248))),"Autres pays d'Europe",IF(OR(ISNUMBER(SEARCH("américain",B248)),ISNUMBER(SEARCH("mexicain",B248)),ISNUMBER(SEARCH("canadien",B248)),ISNUMBER(SEARCH("brésilien",B248)),ISNUMBER(SEARCH("argentin",B248))),"Amérique",IF(OR(ISNUMBER(SEARCH("chinois",B248)),ISNUMBER(SEARCH("japonais",B248)),ISNUMBER(SEARCH("coréen",B248)),ISNUMBER(SEARCH("indien",B248)),ISNUMBER(SEARCH("persan",B248)),ISNUMBER(SEARCH("iranien",B248))),"Asie","(non classée)"))))</f>
        <v/>
      </c>
    </row>
    <row r="249">
      <c r="A249" s="2" t="inlineStr">
        <is>
          <t>FRANZ MARC</t>
        </is>
      </c>
      <c r="B249" s="2" t="inlineStr">
        <is>
          <t>allemande</t>
        </is>
      </c>
      <c r="C249" s="2" t="inlineStr">
        <is>
          <t>peinture</t>
        </is>
      </c>
      <c r="D249" s="2" t="inlineStr">
        <is>
          <t>20e</t>
        </is>
      </c>
      <c r="U249">
        <f>IF(ISNUMBER(SEARCH("fran",B249)),"France",IF(OR(ISNUMBER(SEARCH("italien",B249)),ISNUMBER(SEARCH("espagn",B249)),ISNUMBER(SEARCH("catalan",B249)),ISNUMBER(SEARCH("flamand",B249)),ISNUMBER(SEARCH("belge",B249)),ISNUMBER(SEARCH("hollandais",B249)),ISNUMBER(SEARCH("néerlandais",B249)),ISNUMBER(SEARCH("allemand",B249)),ISNUMBER(SEARCH("autrichien",B249)),ISNUMBER(SEARCH("suisse",B249)),ISNUMBER(SEARCH("anglais",B249)),ISNUMBER(SEARCH("britannique",B249)),ISNUMBER(SEARCH("écossais",B249)),ISNUMBER(SEARCH("irlandais",B249)),ISNUMBER(SEARCH("russe",B249)),ISNUMBER(SEARCH("portugais",B249)),ISNUMBER(SEARCH("danois",B249)),ISNUMBER(SEARCH("norvégien",B249)),ISNUMBER(SEARCH("suédois",B249)),ISNUMBER(SEARCH("finlandais",B249)),ISNUMBER(SEARCH("polonais",B249)),ISNUMBER(SEARCH("tchèque",B249)),ISNUMBER(SEARCH("hongrois",B249)),ISNUMBER(SEARCH("grec",B249)),ISNUMBER(SEARCH("byzantin",B249)),ISNUMBER(SEARCH("croate",B249)),ISNUMBER(SEARCH("ukrainien",B249)),ISNUMBER(SEARCH("bulgare",B249)),ISNUMBER(SEARCH("biélorusse",B249)),ISNUMBER(SEARCH("maltais",B249))),"Autres pays d'Europe",IF(OR(ISNUMBER(SEARCH("américain",B249)),ISNUMBER(SEARCH("mexicain",B249)),ISNUMBER(SEARCH("canadien",B249)),ISNUMBER(SEARCH("brésilien",B249)),ISNUMBER(SEARCH("argentin",B249))),"Amérique",IF(OR(ISNUMBER(SEARCH("chinois",B249)),ISNUMBER(SEARCH("japonais",B249)),ISNUMBER(SEARCH("coréen",B249)),ISNUMBER(SEARCH("indien",B249)),ISNUMBER(SEARCH("persan",B249)),ISNUMBER(SEARCH("iranien",B249))),"Asie","(non classée)"))))</f>
        <v/>
      </c>
    </row>
    <row r="250">
      <c r="A250" s="2" t="inlineStr">
        <is>
          <t>FRANZ XAVER MESSERSCHMIDT</t>
        </is>
      </c>
      <c r="B250" s="2" t="inlineStr">
        <is>
          <t>autrichienne</t>
        </is>
      </c>
      <c r="C250" s="2" t="inlineStr">
        <is>
          <t>sculpture</t>
        </is>
      </c>
      <c r="D250" s="2" t="inlineStr">
        <is>
          <t>18e</t>
        </is>
      </c>
      <c r="U250">
        <f>IF(ISNUMBER(SEARCH("fran",B250)),"France",IF(OR(ISNUMBER(SEARCH("italien",B250)),ISNUMBER(SEARCH("espagn",B250)),ISNUMBER(SEARCH("catalan",B250)),ISNUMBER(SEARCH("flamand",B250)),ISNUMBER(SEARCH("belge",B250)),ISNUMBER(SEARCH("hollandais",B250)),ISNUMBER(SEARCH("néerlandais",B250)),ISNUMBER(SEARCH("allemand",B250)),ISNUMBER(SEARCH("autrichien",B250)),ISNUMBER(SEARCH("suisse",B250)),ISNUMBER(SEARCH("anglais",B250)),ISNUMBER(SEARCH("britannique",B250)),ISNUMBER(SEARCH("écossais",B250)),ISNUMBER(SEARCH("irlandais",B250)),ISNUMBER(SEARCH("russe",B250)),ISNUMBER(SEARCH("portugais",B250)),ISNUMBER(SEARCH("danois",B250)),ISNUMBER(SEARCH("norvégien",B250)),ISNUMBER(SEARCH("suédois",B250)),ISNUMBER(SEARCH("finlandais",B250)),ISNUMBER(SEARCH("polonais",B250)),ISNUMBER(SEARCH("tchèque",B250)),ISNUMBER(SEARCH("hongrois",B250)),ISNUMBER(SEARCH("grec",B250)),ISNUMBER(SEARCH("byzantin",B250)),ISNUMBER(SEARCH("croate",B250)),ISNUMBER(SEARCH("ukrainien",B250)),ISNUMBER(SEARCH("bulgare",B250)),ISNUMBER(SEARCH("biélorusse",B250)),ISNUMBER(SEARCH("maltais",B250))),"Autres pays d'Europe",IF(OR(ISNUMBER(SEARCH("américain",B250)),ISNUMBER(SEARCH("mexicain",B250)),ISNUMBER(SEARCH("canadien",B250)),ISNUMBER(SEARCH("brésilien",B250)),ISNUMBER(SEARCH("argentin",B250))),"Amérique",IF(OR(ISNUMBER(SEARCH("chinois",B250)),ISNUMBER(SEARCH("japonais",B250)),ISNUMBER(SEARCH("coréen",B250)),ISNUMBER(SEARCH("indien",B250)),ISNUMBER(SEARCH("persan",B250)),ISNUMBER(SEARCH("iranien",B250))),"Asie","(non classée)"))))</f>
        <v/>
      </c>
    </row>
    <row r="251">
      <c r="A251" s="2" t="inlineStr">
        <is>
          <t>FRANÇOIS ANGUIER</t>
        </is>
      </c>
      <c r="B251" s="2" t="inlineStr">
        <is>
          <t>française</t>
        </is>
      </c>
      <c r="C251" s="2" t="inlineStr">
        <is>
          <t>sculpture</t>
        </is>
      </c>
      <c r="D251" s="2" t="inlineStr">
        <is>
          <t>17e</t>
        </is>
      </c>
      <c r="U251">
        <f>IF(ISNUMBER(SEARCH("fran",B251)),"France",IF(OR(ISNUMBER(SEARCH("italien",B251)),ISNUMBER(SEARCH("espagn",B251)),ISNUMBER(SEARCH("catalan",B251)),ISNUMBER(SEARCH("flamand",B251)),ISNUMBER(SEARCH("belge",B251)),ISNUMBER(SEARCH("hollandais",B251)),ISNUMBER(SEARCH("néerlandais",B251)),ISNUMBER(SEARCH("allemand",B251)),ISNUMBER(SEARCH("autrichien",B251)),ISNUMBER(SEARCH("suisse",B251)),ISNUMBER(SEARCH("anglais",B251)),ISNUMBER(SEARCH("britannique",B251)),ISNUMBER(SEARCH("écossais",B251)),ISNUMBER(SEARCH("irlandais",B251)),ISNUMBER(SEARCH("russe",B251)),ISNUMBER(SEARCH("portugais",B251)),ISNUMBER(SEARCH("danois",B251)),ISNUMBER(SEARCH("norvégien",B251)),ISNUMBER(SEARCH("suédois",B251)),ISNUMBER(SEARCH("finlandais",B251)),ISNUMBER(SEARCH("polonais",B251)),ISNUMBER(SEARCH("tchèque",B251)),ISNUMBER(SEARCH("hongrois",B251)),ISNUMBER(SEARCH("grec",B251)),ISNUMBER(SEARCH("byzantin",B251)),ISNUMBER(SEARCH("croate",B251)),ISNUMBER(SEARCH("ukrainien",B251)),ISNUMBER(SEARCH("bulgare",B251)),ISNUMBER(SEARCH("biélorusse",B251)),ISNUMBER(SEARCH("maltais",B251))),"Autres pays d'Europe",IF(OR(ISNUMBER(SEARCH("américain",B251)),ISNUMBER(SEARCH("mexicain",B251)),ISNUMBER(SEARCH("canadien",B251)),ISNUMBER(SEARCH("brésilien",B251)),ISNUMBER(SEARCH("argentin",B251))),"Amérique",IF(OR(ISNUMBER(SEARCH("chinois",B251)),ISNUMBER(SEARCH("japonais",B251)),ISNUMBER(SEARCH("coréen",B251)),ISNUMBER(SEARCH("indien",B251)),ISNUMBER(SEARCH("persan",B251)),ISNUMBER(SEARCH("iranien",B251))),"Asie","(non classée)"))))</f>
        <v/>
      </c>
    </row>
    <row r="252">
      <c r="A252" s="2" t="inlineStr">
        <is>
          <t>FRANÇOIS ANTON BUSTELLI</t>
        </is>
      </c>
      <c r="B252" s="2" t="inlineStr">
        <is>
          <t>suisse</t>
        </is>
      </c>
      <c r="C252" s="2" t="inlineStr">
        <is>
          <t>sculpture</t>
        </is>
      </c>
      <c r="D252" s="2" t="inlineStr">
        <is>
          <t>18e</t>
        </is>
      </c>
      <c r="U252">
        <f>IF(ISNUMBER(SEARCH("fran",B252)),"France",IF(OR(ISNUMBER(SEARCH("italien",B252)),ISNUMBER(SEARCH("espagn",B252)),ISNUMBER(SEARCH("catalan",B252)),ISNUMBER(SEARCH("flamand",B252)),ISNUMBER(SEARCH("belge",B252)),ISNUMBER(SEARCH("hollandais",B252)),ISNUMBER(SEARCH("néerlandais",B252)),ISNUMBER(SEARCH("allemand",B252)),ISNUMBER(SEARCH("autrichien",B252)),ISNUMBER(SEARCH("suisse",B252)),ISNUMBER(SEARCH("anglais",B252)),ISNUMBER(SEARCH("britannique",B252)),ISNUMBER(SEARCH("écossais",B252)),ISNUMBER(SEARCH("irlandais",B252)),ISNUMBER(SEARCH("russe",B252)),ISNUMBER(SEARCH("portugais",B252)),ISNUMBER(SEARCH("danois",B252)),ISNUMBER(SEARCH("norvégien",B252)),ISNUMBER(SEARCH("suédois",B252)),ISNUMBER(SEARCH("finlandais",B252)),ISNUMBER(SEARCH("polonais",B252)),ISNUMBER(SEARCH("tchèque",B252)),ISNUMBER(SEARCH("hongrois",B252)),ISNUMBER(SEARCH("grec",B252)),ISNUMBER(SEARCH("byzantin",B252)),ISNUMBER(SEARCH("croate",B252)),ISNUMBER(SEARCH("ukrainien",B252)),ISNUMBER(SEARCH("bulgare",B252)),ISNUMBER(SEARCH("biélorusse",B252)),ISNUMBER(SEARCH("maltais",B252))),"Autres pays d'Europe",IF(OR(ISNUMBER(SEARCH("américain",B252)),ISNUMBER(SEARCH("mexicain",B252)),ISNUMBER(SEARCH("canadien",B252)),ISNUMBER(SEARCH("brésilien",B252)),ISNUMBER(SEARCH("argentin",B252))),"Amérique",IF(OR(ISNUMBER(SEARCH("chinois",B252)),ISNUMBER(SEARCH("japonais",B252)),ISNUMBER(SEARCH("coréen",B252)),ISNUMBER(SEARCH("indien",B252)),ISNUMBER(SEARCH("persan",B252)),ISNUMBER(SEARCH("iranien",B252))),"Asie","(non classée)"))))</f>
        <v/>
      </c>
    </row>
    <row r="253">
      <c r="A253" s="2" t="inlineStr">
        <is>
          <t>FRANÇOIS BOUCHER</t>
        </is>
      </c>
      <c r="B253" s="2" t="inlineStr">
        <is>
          <t>française</t>
        </is>
      </c>
      <c r="C253" s="2" t="inlineStr">
        <is>
          <t>peinture</t>
        </is>
      </c>
      <c r="D253" s="2" t="inlineStr">
        <is>
          <t>18e</t>
        </is>
      </c>
      <c r="U253">
        <f>IF(ISNUMBER(SEARCH("fran",B253)),"France",IF(OR(ISNUMBER(SEARCH("italien",B253)),ISNUMBER(SEARCH("espagn",B253)),ISNUMBER(SEARCH("catalan",B253)),ISNUMBER(SEARCH("flamand",B253)),ISNUMBER(SEARCH("belge",B253)),ISNUMBER(SEARCH("hollandais",B253)),ISNUMBER(SEARCH("néerlandais",B253)),ISNUMBER(SEARCH("allemand",B253)),ISNUMBER(SEARCH("autrichien",B253)),ISNUMBER(SEARCH("suisse",B253)),ISNUMBER(SEARCH("anglais",B253)),ISNUMBER(SEARCH("britannique",B253)),ISNUMBER(SEARCH("écossais",B253)),ISNUMBER(SEARCH("irlandais",B253)),ISNUMBER(SEARCH("russe",B253)),ISNUMBER(SEARCH("portugais",B253)),ISNUMBER(SEARCH("danois",B253)),ISNUMBER(SEARCH("norvégien",B253)),ISNUMBER(SEARCH("suédois",B253)),ISNUMBER(SEARCH("finlandais",B253)),ISNUMBER(SEARCH("polonais",B253)),ISNUMBER(SEARCH("tchèque",B253)),ISNUMBER(SEARCH("hongrois",B253)),ISNUMBER(SEARCH("grec",B253)),ISNUMBER(SEARCH("byzantin",B253)),ISNUMBER(SEARCH("croate",B253)),ISNUMBER(SEARCH("ukrainien",B253)),ISNUMBER(SEARCH("bulgare",B253)),ISNUMBER(SEARCH("biélorusse",B253)),ISNUMBER(SEARCH("maltais",B253))),"Autres pays d'Europe",IF(OR(ISNUMBER(SEARCH("américain",B253)),ISNUMBER(SEARCH("mexicain",B253)),ISNUMBER(SEARCH("canadien",B253)),ISNUMBER(SEARCH("brésilien",B253)),ISNUMBER(SEARCH("argentin",B253))),"Amérique",IF(OR(ISNUMBER(SEARCH("chinois",B253)),ISNUMBER(SEARCH("japonais",B253)),ISNUMBER(SEARCH("coréen",B253)),ISNUMBER(SEARCH("indien",B253)),ISNUMBER(SEARCH("persan",B253)),ISNUMBER(SEARCH("iranien",B253))),"Asie","(non classée)"))))</f>
        <v/>
      </c>
    </row>
    <row r="254">
      <c r="A254" s="2" t="inlineStr">
        <is>
          <t xml:space="preserve">FRANÇOIS CLOUET </t>
        </is>
      </c>
      <c r="B254" s="2" t="inlineStr">
        <is>
          <t>française</t>
        </is>
      </c>
      <c r="C254" s="2" t="inlineStr">
        <is>
          <t>peinture</t>
        </is>
      </c>
      <c r="D254" s="2" t="inlineStr">
        <is>
          <t>16e</t>
        </is>
      </c>
      <c r="U254">
        <f>IF(ISNUMBER(SEARCH("fran",B254)),"France",IF(OR(ISNUMBER(SEARCH("italien",B254)),ISNUMBER(SEARCH("espagn",B254)),ISNUMBER(SEARCH("catalan",B254)),ISNUMBER(SEARCH("flamand",B254)),ISNUMBER(SEARCH("belge",B254)),ISNUMBER(SEARCH("hollandais",B254)),ISNUMBER(SEARCH("néerlandais",B254)),ISNUMBER(SEARCH("allemand",B254)),ISNUMBER(SEARCH("autrichien",B254)),ISNUMBER(SEARCH("suisse",B254)),ISNUMBER(SEARCH("anglais",B254)),ISNUMBER(SEARCH("britannique",B254)),ISNUMBER(SEARCH("écossais",B254)),ISNUMBER(SEARCH("irlandais",B254)),ISNUMBER(SEARCH("russe",B254)),ISNUMBER(SEARCH("portugais",B254)),ISNUMBER(SEARCH("danois",B254)),ISNUMBER(SEARCH("norvégien",B254)),ISNUMBER(SEARCH("suédois",B254)),ISNUMBER(SEARCH("finlandais",B254)),ISNUMBER(SEARCH("polonais",B254)),ISNUMBER(SEARCH("tchèque",B254)),ISNUMBER(SEARCH("hongrois",B254)),ISNUMBER(SEARCH("grec",B254)),ISNUMBER(SEARCH("byzantin",B254)),ISNUMBER(SEARCH("croate",B254)),ISNUMBER(SEARCH("ukrainien",B254)),ISNUMBER(SEARCH("bulgare",B254)),ISNUMBER(SEARCH("biélorusse",B254)),ISNUMBER(SEARCH("maltais",B254))),"Autres pays d'Europe",IF(OR(ISNUMBER(SEARCH("américain",B254)),ISNUMBER(SEARCH("mexicain",B254)),ISNUMBER(SEARCH("canadien",B254)),ISNUMBER(SEARCH("brésilien",B254)),ISNUMBER(SEARCH("argentin",B254))),"Amérique",IF(OR(ISNUMBER(SEARCH("chinois",B254)),ISNUMBER(SEARCH("japonais",B254)),ISNUMBER(SEARCH("coréen",B254)),ISNUMBER(SEARCH("indien",B254)),ISNUMBER(SEARCH("persan",B254)),ISNUMBER(SEARCH("iranien",B254))),"Asie","(non classée)"))))</f>
        <v/>
      </c>
    </row>
    <row r="255">
      <c r="A255" s="2" t="inlineStr">
        <is>
          <t>FRANÇOIS DUQUESNOY</t>
        </is>
      </c>
      <c r="B255" s="2" t="inlineStr">
        <is>
          <t>flamande (Belgique)</t>
        </is>
      </c>
      <c r="C255" s="2" t="inlineStr">
        <is>
          <t>sculpture</t>
        </is>
      </c>
      <c r="D255" s="2" t="inlineStr">
        <is>
          <t>17e</t>
        </is>
      </c>
      <c r="U255">
        <f>IF(ISNUMBER(SEARCH("fran",B255)),"France",IF(OR(ISNUMBER(SEARCH("italien",B255)),ISNUMBER(SEARCH("espagn",B255)),ISNUMBER(SEARCH("catalan",B255)),ISNUMBER(SEARCH("flamand",B255)),ISNUMBER(SEARCH("belge",B255)),ISNUMBER(SEARCH("hollandais",B255)),ISNUMBER(SEARCH("néerlandais",B255)),ISNUMBER(SEARCH("allemand",B255)),ISNUMBER(SEARCH("autrichien",B255)),ISNUMBER(SEARCH("suisse",B255)),ISNUMBER(SEARCH("anglais",B255)),ISNUMBER(SEARCH("britannique",B255)),ISNUMBER(SEARCH("écossais",B255)),ISNUMBER(SEARCH("irlandais",B255)),ISNUMBER(SEARCH("russe",B255)),ISNUMBER(SEARCH("portugais",B255)),ISNUMBER(SEARCH("danois",B255)),ISNUMBER(SEARCH("norvégien",B255)),ISNUMBER(SEARCH("suédois",B255)),ISNUMBER(SEARCH("finlandais",B255)),ISNUMBER(SEARCH("polonais",B255)),ISNUMBER(SEARCH("tchèque",B255)),ISNUMBER(SEARCH("hongrois",B255)),ISNUMBER(SEARCH("grec",B255)),ISNUMBER(SEARCH("byzantin",B255)),ISNUMBER(SEARCH("croate",B255)),ISNUMBER(SEARCH("ukrainien",B255)),ISNUMBER(SEARCH("bulgare",B255)),ISNUMBER(SEARCH("biélorusse",B255)),ISNUMBER(SEARCH("maltais",B255))),"Autres pays d'Europe",IF(OR(ISNUMBER(SEARCH("américain",B255)),ISNUMBER(SEARCH("mexicain",B255)),ISNUMBER(SEARCH("canadien",B255)),ISNUMBER(SEARCH("brésilien",B255)),ISNUMBER(SEARCH("argentin",B255))),"Amérique",IF(OR(ISNUMBER(SEARCH("chinois",B255)),ISNUMBER(SEARCH("japonais",B255)),ISNUMBER(SEARCH("coréen",B255)),ISNUMBER(SEARCH("indien",B255)),ISNUMBER(SEARCH("persan",B255)),ISNUMBER(SEARCH("iranien",B255))),"Asie","(non classée)"))))</f>
        <v/>
      </c>
    </row>
    <row r="256">
      <c r="A256" s="2" t="inlineStr">
        <is>
          <t>FRANÇOIS GIRARDON</t>
        </is>
      </c>
      <c r="B256" s="2" t="inlineStr">
        <is>
          <t>française</t>
        </is>
      </c>
      <c r="C256" s="2" t="inlineStr">
        <is>
          <t>sculpture</t>
        </is>
      </c>
      <c r="D256" s="2" t="inlineStr">
        <is>
          <t>17e</t>
        </is>
      </c>
      <c r="U256">
        <f>IF(ISNUMBER(SEARCH("fran",B256)),"France",IF(OR(ISNUMBER(SEARCH("italien",B256)),ISNUMBER(SEARCH("espagn",B256)),ISNUMBER(SEARCH("catalan",B256)),ISNUMBER(SEARCH("flamand",B256)),ISNUMBER(SEARCH("belge",B256)),ISNUMBER(SEARCH("hollandais",B256)),ISNUMBER(SEARCH("néerlandais",B256)),ISNUMBER(SEARCH("allemand",B256)),ISNUMBER(SEARCH("autrichien",B256)),ISNUMBER(SEARCH("suisse",B256)),ISNUMBER(SEARCH("anglais",B256)),ISNUMBER(SEARCH("britannique",B256)),ISNUMBER(SEARCH("écossais",B256)),ISNUMBER(SEARCH("irlandais",B256)),ISNUMBER(SEARCH("russe",B256)),ISNUMBER(SEARCH("portugais",B256)),ISNUMBER(SEARCH("danois",B256)),ISNUMBER(SEARCH("norvégien",B256)),ISNUMBER(SEARCH("suédois",B256)),ISNUMBER(SEARCH("finlandais",B256)),ISNUMBER(SEARCH("polonais",B256)),ISNUMBER(SEARCH("tchèque",B256)),ISNUMBER(SEARCH("hongrois",B256)),ISNUMBER(SEARCH("grec",B256)),ISNUMBER(SEARCH("byzantin",B256)),ISNUMBER(SEARCH("croate",B256)),ISNUMBER(SEARCH("ukrainien",B256)),ISNUMBER(SEARCH("bulgare",B256)),ISNUMBER(SEARCH("biélorusse",B256)),ISNUMBER(SEARCH("maltais",B256))),"Autres pays d'Europe",IF(OR(ISNUMBER(SEARCH("américain",B256)),ISNUMBER(SEARCH("mexicain",B256)),ISNUMBER(SEARCH("canadien",B256)),ISNUMBER(SEARCH("brésilien",B256)),ISNUMBER(SEARCH("argentin",B256))),"Amérique",IF(OR(ISNUMBER(SEARCH("chinois",B256)),ISNUMBER(SEARCH("japonais",B256)),ISNUMBER(SEARCH("coréen",B256)),ISNUMBER(SEARCH("indien",B256)),ISNUMBER(SEARCH("persan",B256)),ISNUMBER(SEARCH("iranien",B256))),"Asie","(non classée)"))))</f>
        <v/>
      </c>
    </row>
    <row r="257">
      <c r="A257" s="2" t="inlineStr">
        <is>
          <t>FRANÇOIS GASPARD ADAM</t>
        </is>
      </c>
      <c r="B257" s="2" t="inlineStr">
        <is>
          <t>française</t>
        </is>
      </c>
      <c r="C257" s="2" t="inlineStr">
        <is>
          <t>sculpture</t>
        </is>
      </c>
      <c r="D257" s="2" t="inlineStr">
        <is>
          <t>18e</t>
        </is>
      </c>
      <c r="U257">
        <f>IF(ISNUMBER(SEARCH("fran",B257)),"France",IF(OR(ISNUMBER(SEARCH("italien",B257)),ISNUMBER(SEARCH("espagn",B257)),ISNUMBER(SEARCH("catalan",B257)),ISNUMBER(SEARCH("flamand",B257)),ISNUMBER(SEARCH("belge",B257)),ISNUMBER(SEARCH("hollandais",B257)),ISNUMBER(SEARCH("néerlandais",B257)),ISNUMBER(SEARCH("allemand",B257)),ISNUMBER(SEARCH("autrichien",B257)),ISNUMBER(SEARCH("suisse",B257)),ISNUMBER(SEARCH("anglais",B257)),ISNUMBER(SEARCH("britannique",B257)),ISNUMBER(SEARCH("écossais",B257)),ISNUMBER(SEARCH("irlandais",B257)),ISNUMBER(SEARCH("russe",B257)),ISNUMBER(SEARCH("portugais",B257)),ISNUMBER(SEARCH("danois",B257)),ISNUMBER(SEARCH("norvégien",B257)),ISNUMBER(SEARCH("suédois",B257)),ISNUMBER(SEARCH("finlandais",B257)),ISNUMBER(SEARCH("polonais",B257)),ISNUMBER(SEARCH("tchèque",B257)),ISNUMBER(SEARCH("hongrois",B257)),ISNUMBER(SEARCH("grec",B257)),ISNUMBER(SEARCH("byzantin",B257)),ISNUMBER(SEARCH("croate",B257)),ISNUMBER(SEARCH("ukrainien",B257)),ISNUMBER(SEARCH("bulgare",B257)),ISNUMBER(SEARCH("biélorusse",B257)),ISNUMBER(SEARCH("maltais",B257))),"Autres pays d'Europe",IF(OR(ISNUMBER(SEARCH("américain",B257)),ISNUMBER(SEARCH("mexicain",B257)),ISNUMBER(SEARCH("canadien",B257)),ISNUMBER(SEARCH("brésilien",B257)),ISNUMBER(SEARCH("argentin",B257))),"Amérique",IF(OR(ISNUMBER(SEARCH("chinois",B257)),ISNUMBER(SEARCH("japonais",B257)),ISNUMBER(SEARCH("coréen",B257)),ISNUMBER(SEARCH("indien",B257)),ISNUMBER(SEARCH("persan",B257)),ISNUMBER(SEARCH("iranien",B257))),"Asie","(non classée)"))))</f>
        <v/>
      </c>
    </row>
    <row r="258">
      <c r="A258" s="2" t="inlineStr">
        <is>
          <t>FRANÇOIS JOSEPH BOSIO</t>
        </is>
      </c>
      <c r="B258" s="2" t="inlineStr">
        <is>
          <t>française</t>
        </is>
      </c>
      <c r="C258" s="2" t="inlineStr">
        <is>
          <t>sculpture</t>
        </is>
      </c>
      <c r="D258" s="2" t="inlineStr">
        <is>
          <t>19e</t>
        </is>
      </c>
      <c r="U258">
        <f>IF(ISNUMBER(SEARCH("fran",B258)),"France",IF(OR(ISNUMBER(SEARCH("italien",B258)),ISNUMBER(SEARCH("espagn",B258)),ISNUMBER(SEARCH("catalan",B258)),ISNUMBER(SEARCH("flamand",B258)),ISNUMBER(SEARCH("belge",B258)),ISNUMBER(SEARCH("hollandais",B258)),ISNUMBER(SEARCH("néerlandais",B258)),ISNUMBER(SEARCH("allemand",B258)),ISNUMBER(SEARCH("autrichien",B258)),ISNUMBER(SEARCH("suisse",B258)),ISNUMBER(SEARCH("anglais",B258)),ISNUMBER(SEARCH("britannique",B258)),ISNUMBER(SEARCH("écossais",B258)),ISNUMBER(SEARCH("irlandais",B258)),ISNUMBER(SEARCH("russe",B258)),ISNUMBER(SEARCH("portugais",B258)),ISNUMBER(SEARCH("danois",B258)),ISNUMBER(SEARCH("norvégien",B258)),ISNUMBER(SEARCH("suédois",B258)),ISNUMBER(SEARCH("finlandais",B258)),ISNUMBER(SEARCH("polonais",B258)),ISNUMBER(SEARCH("tchèque",B258)),ISNUMBER(SEARCH("hongrois",B258)),ISNUMBER(SEARCH("grec",B258)),ISNUMBER(SEARCH("byzantin",B258)),ISNUMBER(SEARCH("croate",B258)),ISNUMBER(SEARCH("ukrainien",B258)),ISNUMBER(SEARCH("bulgare",B258)),ISNUMBER(SEARCH("biélorusse",B258)),ISNUMBER(SEARCH("maltais",B258))),"Autres pays d'Europe",IF(OR(ISNUMBER(SEARCH("américain",B258)),ISNUMBER(SEARCH("mexicain",B258)),ISNUMBER(SEARCH("canadien",B258)),ISNUMBER(SEARCH("brésilien",B258)),ISNUMBER(SEARCH("argentin",B258))),"Amérique",IF(OR(ISNUMBER(SEARCH("chinois",B258)),ISNUMBER(SEARCH("japonais",B258)),ISNUMBER(SEARCH("coréen",B258)),ISNUMBER(SEARCH("indien",B258)),ISNUMBER(SEARCH("persan",B258)),ISNUMBER(SEARCH("iranien",B258))),"Asie","(non classée)"))))</f>
        <v/>
      </c>
    </row>
    <row r="259">
      <c r="A259" s="2" t="inlineStr">
        <is>
          <t>FRANÇOIS POMPON</t>
        </is>
      </c>
      <c r="B259" s="2" t="inlineStr">
        <is>
          <t>française</t>
        </is>
      </c>
      <c r="C259" s="2" t="inlineStr">
        <is>
          <t>sculpture</t>
        </is>
      </c>
      <c r="D259" s="2" t="inlineStr">
        <is>
          <t>20e</t>
        </is>
      </c>
      <c r="U259">
        <f>IF(ISNUMBER(SEARCH("fran",B259)),"France",IF(OR(ISNUMBER(SEARCH("italien",B259)),ISNUMBER(SEARCH("espagn",B259)),ISNUMBER(SEARCH("catalan",B259)),ISNUMBER(SEARCH("flamand",B259)),ISNUMBER(SEARCH("belge",B259)),ISNUMBER(SEARCH("hollandais",B259)),ISNUMBER(SEARCH("néerlandais",B259)),ISNUMBER(SEARCH("allemand",B259)),ISNUMBER(SEARCH("autrichien",B259)),ISNUMBER(SEARCH("suisse",B259)),ISNUMBER(SEARCH("anglais",B259)),ISNUMBER(SEARCH("britannique",B259)),ISNUMBER(SEARCH("écossais",B259)),ISNUMBER(SEARCH("irlandais",B259)),ISNUMBER(SEARCH("russe",B259)),ISNUMBER(SEARCH("portugais",B259)),ISNUMBER(SEARCH("danois",B259)),ISNUMBER(SEARCH("norvégien",B259)),ISNUMBER(SEARCH("suédois",B259)),ISNUMBER(SEARCH("finlandais",B259)),ISNUMBER(SEARCH("polonais",B259)),ISNUMBER(SEARCH("tchèque",B259)),ISNUMBER(SEARCH("hongrois",B259)),ISNUMBER(SEARCH("grec",B259)),ISNUMBER(SEARCH("byzantin",B259)),ISNUMBER(SEARCH("croate",B259)),ISNUMBER(SEARCH("ukrainien",B259)),ISNUMBER(SEARCH("bulgare",B259)),ISNUMBER(SEARCH("biélorusse",B259)),ISNUMBER(SEARCH("maltais",B259))),"Autres pays d'Europe",IF(OR(ISNUMBER(SEARCH("américain",B259)),ISNUMBER(SEARCH("mexicain",B259)),ISNUMBER(SEARCH("canadien",B259)),ISNUMBER(SEARCH("brésilien",B259)),ISNUMBER(SEARCH("argentin",B259))),"Amérique",IF(OR(ISNUMBER(SEARCH("chinois",B259)),ISNUMBER(SEARCH("japonais",B259)),ISNUMBER(SEARCH("coréen",B259)),ISNUMBER(SEARCH("indien",B259)),ISNUMBER(SEARCH("persan",B259)),ISNUMBER(SEARCH("iranien",B259))),"Asie","(non classée)"))))</f>
        <v/>
      </c>
    </row>
    <row r="260">
      <c r="A260" s="2" t="inlineStr">
        <is>
          <t>FRANÇOIS RUDE</t>
        </is>
      </c>
      <c r="B260" s="2" t="inlineStr">
        <is>
          <t>française</t>
        </is>
      </c>
      <c r="C260" s="2" t="inlineStr">
        <is>
          <t>sculpture</t>
        </is>
      </c>
      <c r="D260" s="2" t="inlineStr">
        <is>
          <t>19e</t>
        </is>
      </c>
      <c r="U260">
        <f>IF(ISNUMBER(SEARCH("fran",B260)),"France",IF(OR(ISNUMBER(SEARCH("italien",B260)),ISNUMBER(SEARCH("espagn",B260)),ISNUMBER(SEARCH("catalan",B260)),ISNUMBER(SEARCH("flamand",B260)),ISNUMBER(SEARCH("belge",B260)),ISNUMBER(SEARCH("hollandais",B260)),ISNUMBER(SEARCH("néerlandais",B260)),ISNUMBER(SEARCH("allemand",B260)),ISNUMBER(SEARCH("autrichien",B260)),ISNUMBER(SEARCH("suisse",B260)),ISNUMBER(SEARCH("anglais",B260)),ISNUMBER(SEARCH("britannique",B260)),ISNUMBER(SEARCH("écossais",B260)),ISNUMBER(SEARCH("irlandais",B260)),ISNUMBER(SEARCH("russe",B260)),ISNUMBER(SEARCH("portugais",B260)),ISNUMBER(SEARCH("danois",B260)),ISNUMBER(SEARCH("norvégien",B260)),ISNUMBER(SEARCH("suédois",B260)),ISNUMBER(SEARCH("finlandais",B260)),ISNUMBER(SEARCH("polonais",B260)),ISNUMBER(SEARCH("tchèque",B260)),ISNUMBER(SEARCH("hongrois",B260)),ISNUMBER(SEARCH("grec",B260)),ISNUMBER(SEARCH("byzantin",B260)),ISNUMBER(SEARCH("croate",B260)),ISNUMBER(SEARCH("ukrainien",B260)),ISNUMBER(SEARCH("bulgare",B260)),ISNUMBER(SEARCH("biélorusse",B260)),ISNUMBER(SEARCH("maltais",B260))),"Autres pays d'Europe",IF(OR(ISNUMBER(SEARCH("américain",B260)),ISNUMBER(SEARCH("mexicain",B260)),ISNUMBER(SEARCH("canadien",B260)),ISNUMBER(SEARCH("brésilien",B260)),ISNUMBER(SEARCH("argentin",B260))),"Amérique",IF(OR(ISNUMBER(SEARCH("chinois",B260)),ISNUMBER(SEARCH("japonais",B260)),ISNUMBER(SEARCH("coréen",B260)),ISNUMBER(SEARCH("indien",B260)),ISNUMBER(SEARCH("persan",B260)),ISNUMBER(SEARCH("iranien",B260))),"Asie","(non classée)"))))</f>
        <v/>
      </c>
    </row>
    <row r="261">
      <c r="A261" s="2" t="inlineStr">
        <is>
          <t>FRANÇOIS-HUBERT DROUAIS</t>
        </is>
      </c>
      <c r="B261" s="2" t="inlineStr">
        <is>
          <t>française</t>
        </is>
      </c>
      <c r="C261" s="2" t="inlineStr">
        <is>
          <t>peinture</t>
        </is>
      </c>
      <c r="D261" s="2" t="inlineStr">
        <is>
          <t>18e</t>
        </is>
      </c>
      <c r="U261">
        <f>IF(ISNUMBER(SEARCH("fran",B261)),"France",IF(OR(ISNUMBER(SEARCH("italien",B261)),ISNUMBER(SEARCH("espagn",B261)),ISNUMBER(SEARCH("catalan",B261)),ISNUMBER(SEARCH("flamand",B261)),ISNUMBER(SEARCH("belge",B261)),ISNUMBER(SEARCH("hollandais",B261)),ISNUMBER(SEARCH("néerlandais",B261)),ISNUMBER(SEARCH("allemand",B261)),ISNUMBER(SEARCH("autrichien",B261)),ISNUMBER(SEARCH("suisse",B261)),ISNUMBER(SEARCH("anglais",B261)),ISNUMBER(SEARCH("britannique",B261)),ISNUMBER(SEARCH("écossais",B261)),ISNUMBER(SEARCH("irlandais",B261)),ISNUMBER(SEARCH("russe",B261)),ISNUMBER(SEARCH("portugais",B261)),ISNUMBER(SEARCH("danois",B261)),ISNUMBER(SEARCH("norvégien",B261)),ISNUMBER(SEARCH("suédois",B261)),ISNUMBER(SEARCH("finlandais",B261)),ISNUMBER(SEARCH("polonais",B261)),ISNUMBER(SEARCH("tchèque",B261)),ISNUMBER(SEARCH("hongrois",B261)),ISNUMBER(SEARCH("grec",B261)),ISNUMBER(SEARCH("byzantin",B261)),ISNUMBER(SEARCH("croate",B261)),ISNUMBER(SEARCH("ukrainien",B261)),ISNUMBER(SEARCH("bulgare",B261)),ISNUMBER(SEARCH("biélorusse",B261)),ISNUMBER(SEARCH("maltais",B261))),"Autres pays d'Europe",IF(OR(ISNUMBER(SEARCH("américain",B261)),ISNUMBER(SEARCH("mexicain",B261)),ISNUMBER(SEARCH("canadien",B261)),ISNUMBER(SEARCH("brésilien",B261)),ISNUMBER(SEARCH("argentin",B261))),"Amérique",IF(OR(ISNUMBER(SEARCH("chinois",B261)),ISNUMBER(SEARCH("japonais",B261)),ISNUMBER(SEARCH("coréen",B261)),ISNUMBER(SEARCH("indien",B261)),ISNUMBER(SEARCH("persan",B261)),ISNUMBER(SEARCH("iranien",B261))),"Asie","(non classée)"))))</f>
        <v/>
      </c>
    </row>
    <row r="262">
      <c r="A262" s="2" t="inlineStr">
        <is>
          <t>FRANÇOIS-XAVIER FABRE</t>
        </is>
      </c>
      <c r="B262" s="2" t="inlineStr">
        <is>
          <t>française</t>
        </is>
      </c>
      <c r="C262" s="2" t="inlineStr">
        <is>
          <t>peinture</t>
        </is>
      </c>
      <c r="D262" s="2" t="inlineStr">
        <is>
          <t>18e</t>
        </is>
      </c>
      <c r="U262">
        <f>IF(ISNUMBER(SEARCH("fran",B262)),"France",IF(OR(ISNUMBER(SEARCH("italien",B262)),ISNUMBER(SEARCH("espagn",B262)),ISNUMBER(SEARCH("catalan",B262)),ISNUMBER(SEARCH("flamand",B262)),ISNUMBER(SEARCH("belge",B262)),ISNUMBER(SEARCH("hollandais",B262)),ISNUMBER(SEARCH("néerlandais",B262)),ISNUMBER(SEARCH("allemand",B262)),ISNUMBER(SEARCH("autrichien",B262)),ISNUMBER(SEARCH("suisse",B262)),ISNUMBER(SEARCH("anglais",B262)),ISNUMBER(SEARCH("britannique",B262)),ISNUMBER(SEARCH("écossais",B262)),ISNUMBER(SEARCH("irlandais",B262)),ISNUMBER(SEARCH("russe",B262)),ISNUMBER(SEARCH("portugais",B262)),ISNUMBER(SEARCH("danois",B262)),ISNUMBER(SEARCH("norvégien",B262)),ISNUMBER(SEARCH("suédois",B262)),ISNUMBER(SEARCH("finlandais",B262)),ISNUMBER(SEARCH("polonais",B262)),ISNUMBER(SEARCH("tchèque",B262)),ISNUMBER(SEARCH("hongrois",B262)),ISNUMBER(SEARCH("grec",B262)),ISNUMBER(SEARCH("byzantin",B262)),ISNUMBER(SEARCH("croate",B262)),ISNUMBER(SEARCH("ukrainien",B262)),ISNUMBER(SEARCH("bulgare",B262)),ISNUMBER(SEARCH("biélorusse",B262)),ISNUMBER(SEARCH("maltais",B262))),"Autres pays d'Europe",IF(OR(ISNUMBER(SEARCH("américain",B262)),ISNUMBER(SEARCH("mexicain",B262)),ISNUMBER(SEARCH("canadien",B262)),ISNUMBER(SEARCH("brésilien",B262)),ISNUMBER(SEARCH("argentin",B262))),"Amérique",IF(OR(ISNUMBER(SEARCH("chinois",B262)),ISNUMBER(SEARCH("japonais",B262)),ISNUMBER(SEARCH("coréen",B262)),ISNUMBER(SEARCH("indien",B262)),ISNUMBER(SEARCH("persan",B262)),ISNUMBER(SEARCH("iranien",B262))),"Asie","(non classée)"))))</f>
        <v/>
      </c>
    </row>
    <row r="263">
      <c r="A263" s="2" t="inlineStr">
        <is>
          <t>FREDERIC LEIGHTON</t>
        </is>
      </c>
      <c r="B263" s="2" t="inlineStr">
        <is>
          <t>anglaise (Royaume-Uni)</t>
        </is>
      </c>
      <c r="C263" s="2" t="inlineStr">
        <is>
          <t>sculpture</t>
        </is>
      </c>
      <c r="D263" s="2" t="inlineStr">
        <is>
          <t>19e</t>
        </is>
      </c>
      <c r="U263">
        <f>IF(ISNUMBER(SEARCH("fran",B263)),"France",IF(OR(ISNUMBER(SEARCH("italien",B263)),ISNUMBER(SEARCH("espagn",B263)),ISNUMBER(SEARCH("catalan",B263)),ISNUMBER(SEARCH("flamand",B263)),ISNUMBER(SEARCH("belge",B263)),ISNUMBER(SEARCH("hollandais",B263)),ISNUMBER(SEARCH("néerlandais",B263)),ISNUMBER(SEARCH("allemand",B263)),ISNUMBER(SEARCH("autrichien",B263)),ISNUMBER(SEARCH("suisse",B263)),ISNUMBER(SEARCH("anglais",B263)),ISNUMBER(SEARCH("britannique",B263)),ISNUMBER(SEARCH("écossais",B263)),ISNUMBER(SEARCH("irlandais",B263)),ISNUMBER(SEARCH("russe",B263)),ISNUMBER(SEARCH("portugais",B263)),ISNUMBER(SEARCH("danois",B263)),ISNUMBER(SEARCH("norvégien",B263)),ISNUMBER(SEARCH("suédois",B263)),ISNUMBER(SEARCH("finlandais",B263)),ISNUMBER(SEARCH("polonais",B263)),ISNUMBER(SEARCH("tchèque",B263)),ISNUMBER(SEARCH("hongrois",B263)),ISNUMBER(SEARCH("grec",B263)),ISNUMBER(SEARCH("byzantin",B263)),ISNUMBER(SEARCH("croate",B263)),ISNUMBER(SEARCH("ukrainien",B263)),ISNUMBER(SEARCH("bulgare",B263)),ISNUMBER(SEARCH("biélorusse",B263)),ISNUMBER(SEARCH("maltais",B263))),"Autres pays d'Europe",IF(OR(ISNUMBER(SEARCH("américain",B263)),ISNUMBER(SEARCH("mexicain",B263)),ISNUMBER(SEARCH("canadien",B263)),ISNUMBER(SEARCH("brésilien",B263)),ISNUMBER(SEARCH("argentin",B263))),"Amérique",IF(OR(ISNUMBER(SEARCH("chinois",B263)),ISNUMBER(SEARCH("japonais",B263)),ISNUMBER(SEARCH("coréen",B263)),ISNUMBER(SEARCH("indien",B263)),ISNUMBER(SEARCH("persan",B263)),ISNUMBER(SEARCH("iranien",B263))),"Asie","(non classée)"))))</f>
        <v/>
      </c>
    </row>
    <row r="264">
      <c r="A264" s="2" t="inlineStr">
        <is>
          <t>FREDERIC REMINGTON</t>
        </is>
      </c>
      <c r="B264" s="2" t="inlineStr">
        <is>
          <t>américaine</t>
        </is>
      </c>
      <c r="C264" s="2" t="inlineStr">
        <is>
          <t>sculpture</t>
        </is>
      </c>
      <c r="D264" s="2" t="inlineStr">
        <is>
          <t>19e</t>
        </is>
      </c>
      <c r="U264">
        <f>IF(ISNUMBER(SEARCH("fran",B264)),"France",IF(OR(ISNUMBER(SEARCH("italien",B264)),ISNUMBER(SEARCH("espagn",B264)),ISNUMBER(SEARCH("catalan",B264)),ISNUMBER(SEARCH("flamand",B264)),ISNUMBER(SEARCH("belge",B264)),ISNUMBER(SEARCH("hollandais",B264)),ISNUMBER(SEARCH("néerlandais",B264)),ISNUMBER(SEARCH("allemand",B264)),ISNUMBER(SEARCH("autrichien",B264)),ISNUMBER(SEARCH("suisse",B264)),ISNUMBER(SEARCH("anglais",B264)),ISNUMBER(SEARCH("britannique",B264)),ISNUMBER(SEARCH("écossais",B264)),ISNUMBER(SEARCH("irlandais",B264)),ISNUMBER(SEARCH("russe",B264)),ISNUMBER(SEARCH("portugais",B264)),ISNUMBER(SEARCH("danois",B264)),ISNUMBER(SEARCH("norvégien",B264)),ISNUMBER(SEARCH("suédois",B264)),ISNUMBER(SEARCH("finlandais",B264)),ISNUMBER(SEARCH("polonais",B264)),ISNUMBER(SEARCH("tchèque",B264)),ISNUMBER(SEARCH("hongrois",B264)),ISNUMBER(SEARCH("grec",B264)),ISNUMBER(SEARCH("byzantin",B264)),ISNUMBER(SEARCH("croate",B264)),ISNUMBER(SEARCH("ukrainien",B264)),ISNUMBER(SEARCH("bulgare",B264)),ISNUMBER(SEARCH("biélorusse",B264)),ISNUMBER(SEARCH("maltais",B264))),"Autres pays d'Europe",IF(OR(ISNUMBER(SEARCH("américain",B264)),ISNUMBER(SEARCH("mexicain",B264)),ISNUMBER(SEARCH("canadien",B264)),ISNUMBER(SEARCH("brésilien",B264)),ISNUMBER(SEARCH("argentin",B264))),"Amérique",IF(OR(ISNUMBER(SEARCH("chinois",B264)),ISNUMBER(SEARCH("japonais",B264)),ISNUMBER(SEARCH("coréen",B264)),ISNUMBER(SEARCH("indien",B264)),ISNUMBER(SEARCH("persan",B264)),ISNUMBER(SEARCH("iranien",B264))),"Asie","(non classée)"))))</f>
        <v/>
      </c>
    </row>
    <row r="265">
      <c r="A265" s="2" t="inlineStr">
        <is>
          <t>FRIDA KAHLO</t>
        </is>
      </c>
      <c r="B265" s="2" t="inlineStr">
        <is>
          <t>américaine</t>
        </is>
      </c>
      <c r="C265" s="2" t="inlineStr">
        <is>
          <t>peinture</t>
        </is>
      </c>
      <c r="D265" s="2" t="inlineStr">
        <is>
          <t>20e</t>
        </is>
      </c>
      <c r="U265">
        <f>IF(ISNUMBER(SEARCH("fran",B265)),"France",IF(OR(ISNUMBER(SEARCH("italien",B265)),ISNUMBER(SEARCH("espagn",B265)),ISNUMBER(SEARCH("catalan",B265)),ISNUMBER(SEARCH("flamand",B265)),ISNUMBER(SEARCH("belge",B265)),ISNUMBER(SEARCH("hollandais",B265)),ISNUMBER(SEARCH("néerlandais",B265)),ISNUMBER(SEARCH("allemand",B265)),ISNUMBER(SEARCH("autrichien",B265)),ISNUMBER(SEARCH("suisse",B265)),ISNUMBER(SEARCH("anglais",B265)),ISNUMBER(SEARCH("britannique",B265)),ISNUMBER(SEARCH("écossais",B265)),ISNUMBER(SEARCH("irlandais",B265)),ISNUMBER(SEARCH("russe",B265)),ISNUMBER(SEARCH("portugais",B265)),ISNUMBER(SEARCH("danois",B265)),ISNUMBER(SEARCH("norvégien",B265)),ISNUMBER(SEARCH("suédois",B265)),ISNUMBER(SEARCH("finlandais",B265)),ISNUMBER(SEARCH("polonais",B265)),ISNUMBER(SEARCH("tchèque",B265)),ISNUMBER(SEARCH("hongrois",B265)),ISNUMBER(SEARCH("grec",B265)),ISNUMBER(SEARCH("byzantin",B265)),ISNUMBER(SEARCH("croate",B265)),ISNUMBER(SEARCH("ukrainien",B265)),ISNUMBER(SEARCH("bulgare",B265)),ISNUMBER(SEARCH("biélorusse",B265)),ISNUMBER(SEARCH("maltais",B265))),"Autres pays d'Europe",IF(OR(ISNUMBER(SEARCH("américain",B265)),ISNUMBER(SEARCH("mexicain",B265)),ISNUMBER(SEARCH("canadien",B265)),ISNUMBER(SEARCH("brésilien",B265)),ISNUMBER(SEARCH("argentin",B265))),"Amérique",IF(OR(ISNUMBER(SEARCH("chinois",B265)),ISNUMBER(SEARCH("japonais",B265)),ISNUMBER(SEARCH("coréen",B265)),ISNUMBER(SEARCH("indien",B265)),ISNUMBER(SEARCH("persan",B265)),ISNUMBER(SEARCH("iranien",B265))),"Asie","(non classée)"))))</f>
        <v/>
      </c>
    </row>
    <row r="266">
      <c r="A266" s="2" t="inlineStr">
        <is>
          <t>FRÉDÉRIC BAZILLE</t>
        </is>
      </c>
      <c r="B266" s="2" t="inlineStr">
        <is>
          <t>française</t>
        </is>
      </c>
      <c r="C266" s="2" t="inlineStr">
        <is>
          <t>peinture</t>
        </is>
      </c>
      <c r="D266" s="2" t="inlineStr">
        <is>
          <t>19e</t>
        </is>
      </c>
      <c r="U266">
        <f>IF(ISNUMBER(SEARCH("fran",B266)),"France",IF(OR(ISNUMBER(SEARCH("italien",B266)),ISNUMBER(SEARCH("espagn",B266)),ISNUMBER(SEARCH("catalan",B266)),ISNUMBER(SEARCH("flamand",B266)),ISNUMBER(SEARCH("belge",B266)),ISNUMBER(SEARCH("hollandais",B266)),ISNUMBER(SEARCH("néerlandais",B266)),ISNUMBER(SEARCH("allemand",B266)),ISNUMBER(SEARCH("autrichien",B266)),ISNUMBER(SEARCH("suisse",B266)),ISNUMBER(SEARCH("anglais",B266)),ISNUMBER(SEARCH("britannique",B266)),ISNUMBER(SEARCH("écossais",B266)),ISNUMBER(SEARCH("irlandais",B266)),ISNUMBER(SEARCH("russe",B266)),ISNUMBER(SEARCH("portugais",B266)),ISNUMBER(SEARCH("danois",B266)),ISNUMBER(SEARCH("norvégien",B266)),ISNUMBER(SEARCH("suédois",B266)),ISNUMBER(SEARCH("finlandais",B266)),ISNUMBER(SEARCH("polonais",B266)),ISNUMBER(SEARCH("tchèque",B266)),ISNUMBER(SEARCH("hongrois",B266)),ISNUMBER(SEARCH("grec",B266)),ISNUMBER(SEARCH("byzantin",B266)),ISNUMBER(SEARCH("croate",B266)),ISNUMBER(SEARCH("ukrainien",B266)),ISNUMBER(SEARCH("bulgare",B266)),ISNUMBER(SEARCH("biélorusse",B266)),ISNUMBER(SEARCH("maltais",B266))),"Autres pays d'Europe",IF(OR(ISNUMBER(SEARCH("américain",B266)),ISNUMBER(SEARCH("mexicain",B266)),ISNUMBER(SEARCH("canadien",B266)),ISNUMBER(SEARCH("brésilien",B266)),ISNUMBER(SEARCH("argentin",B266))),"Amérique",IF(OR(ISNUMBER(SEARCH("chinois",B266)),ISNUMBER(SEARCH("japonais",B266)),ISNUMBER(SEARCH("coréen",B266)),ISNUMBER(SEARCH("indien",B266)),ISNUMBER(SEARCH("persan",B266)),ISNUMBER(SEARCH("iranien",B266))),"Asie","(non classée)"))))</f>
        <v/>
      </c>
    </row>
    <row r="267">
      <c r="A267" s="2" t="inlineStr">
        <is>
          <t>FRÉDÉRIC EDWIN CHURCH</t>
        </is>
      </c>
      <c r="B267" s="2" t="inlineStr">
        <is>
          <t>américaine</t>
        </is>
      </c>
      <c r="C267" s="2" t="inlineStr">
        <is>
          <t>peinture</t>
        </is>
      </c>
      <c r="D267" s="2" t="inlineStr">
        <is>
          <t>19e</t>
        </is>
      </c>
      <c r="U267">
        <f>IF(ISNUMBER(SEARCH("fran",B267)),"France",IF(OR(ISNUMBER(SEARCH("italien",B267)),ISNUMBER(SEARCH("espagn",B267)),ISNUMBER(SEARCH("catalan",B267)),ISNUMBER(SEARCH("flamand",B267)),ISNUMBER(SEARCH("belge",B267)),ISNUMBER(SEARCH("hollandais",B267)),ISNUMBER(SEARCH("néerlandais",B267)),ISNUMBER(SEARCH("allemand",B267)),ISNUMBER(SEARCH("autrichien",B267)),ISNUMBER(SEARCH("suisse",B267)),ISNUMBER(SEARCH("anglais",B267)),ISNUMBER(SEARCH("britannique",B267)),ISNUMBER(SEARCH("écossais",B267)),ISNUMBER(SEARCH("irlandais",B267)),ISNUMBER(SEARCH("russe",B267)),ISNUMBER(SEARCH("portugais",B267)),ISNUMBER(SEARCH("danois",B267)),ISNUMBER(SEARCH("norvégien",B267)),ISNUMBER(SEARCH("suédois",B267)),ISNUMBER(SEARCH("finlandais",B267)),ISNUMBER(SEARCH("polonais",B267)),ISNUMBER(SEARCH("tchèque",B267)),ISNUMBER(SEARCH("hongrois",B267)),ISNUMBER(SEARCH("grec",B267)),ISNUMBER(SEARCH("byzantin",B267)),ISNUMBER(SEARCH("croate",B267)),ISNUMBER(SEARCH("ukrainien",B267)),ISNUMBER(SEARCH("bulgare",B267)),ISNUMBER(SEARCH("biélorusse",B267)),ISNUMBER(SEARCH("maltais",B267))),"Autres pays d'Europe",IF(OR(ISNUMBER(SEARCH("américain",B267)),ISNUMBER(SEARCH("mexicain",B267)),ISNUMBER(SEARCH("canadien",B267)),ISNUMBER(SEARCH("brésilien",B267)),ISNUMBER(SEARCH("argentin",B267))),"Amérique",IF(OR(ISNUMBER(SEARCH("chinois",B267)),ISNUMBER(SEARCH("japonais",B267)),ISNUMBER(SEARCH("coréen",B267)),ISNUMBER(SEARCH("indien",B267)),ISNUMBER(SEARCH("persan",B267)),ISNUMBER(SEARCH("iranien",B267))),"Asie","(non classée)"))))</f>
        <v/>
      </c>
    </row>
    <row r="268">
      <c r="A268" s="2" t="inlineStr">
        <is>
          <t>GIAMBOLOGNA (JEAN DE BOLOGNE)</t>
        </is>
      </c>
      <c r="B268" s="2" t="inlineStr">
        <is>
          <t>italienne</t>
        </is>
      </c>
      <c r="C268" s="2" t="inlineStr">
        <is>
          <t>sculpture</t>
        </is>
      </c>
      <c r="D268" s="2" t="inlineStr">
        <is>
          <t>16e</t>
        </is>
      </c>
      <c r="U268">
        <f>IF(ISNUMBER(SEARCH("fran",B268)),"France",IF(OR(ISNUMBER(SEARCH("italien",B268)),ISNUMBER(SEARCH("espagn",B268)),ISNUMBER(SEARCH("catalan",B268)),ISNUMBER(SEARCH("flamand",B268)),ISNUMBER(SEARCH("belge",B268)),ISNUMBER(SEARCH("hollandais",B268)),ISNUMBER(SEARCH("néerlandais",B268)),ISNUMBER(SEARCH("allemand",B268)),ISNUMBER(SEARCH("autrichien",B268)),ISNUMBER(SEARCH("suisse",B268)),ISNUMBER(SEARCH("anglais",B268)),ISNUMBER(SEARCH("britannique",B268)),ISNUMBER(SEARCH("écossais",B268)),ISNUMBER(SEARCH("irlandais",B268)),ISNUMBER(SEARCH("russe",B268)),ISNUMBER(SEARCH("portugais",B268)),ISNUMBER(SEARCH("danois",B268)),ISNUMBER(SEARCH("norvégien",B268)),ISNUMBER(SEARCH("suédois",B268)),ISNUMBER(SEARCH("finlandais",B268)),ISNUMBER(SEARCH("polonais",B268)),ISNUMBER(SEARCH("tchèque",B268)),ISNUMBER(SEARCH("hongrois",B268)),ISNUMBER(SEARCH("grec",B268)),ISNUMBER(SEARCH("byzantin",B268)),ISNUMBER(SEARCH("croate",B268)),ISNUMBER(SEARCH("ukrainien",B268)),ISNUMBER(SEARCH("bulgare",B268)),ISNUMBER(SEARCH("biélorusse",B268)),ISNUMBER(SEARCH("maltais",B268))),"Autres pays d'Europe",IF(OR(ISNUMBER(SEARCH("américain",B268)),ISNUMBER(SEARCH("mexicain",B268)),ISNUMBER(SEARCH("canadien",B268)),ISNUMBER(SEARCH("brésilien",B268)),ISNUMBER(SEARCH("argentin",B268))),"Amérique",IF(OR(ISNUMBER(SEARCH("chinois",B268)),ISNUMBER(SEARCH("japonais",B268)),ISNUMBER(SEARCH("coréen",B268)),ISNUMBER(SEARCH("indien",B268)),ISNUMBER(SEARCH("persan",B268)),ISNUMBER(SEARCH("iranien",B268))),"Asie","(non classée)"))))</f>
        <v/>
      </c>
    </row>
    <row r="269">
      <c r="A269" s="2" t="inlineStr">
        <is>
          <t>GIORGIONE</t>
        </is>
      </c>
      <c r="B269" s="2" t="inlineStr">
        <is>
          <t>italienne</t>
        </is>
      </c>
      <c r="C269" s="2" t="inlineStr">
        <is>
          <t>peinture</t>
        </is>
      </c>
      <c r="D269" s="2" t="inlineStr">
        <is>
          <t>16e</t>
        </is>
      </c>
      <c r="U269">
        <f>IF(ISNUMBER(SEARCH("fran",B269)),"France",IF(OR(ISNUMBER(SEARCH("italien",B269)),ISNUMBER(SEARCH("espagn",B269)),ISNUMBER(SEARCH("catalan",B269)),ISNUMBER(SEARCH("flamand",B269)),ISNUMBER(SEARCH("belge",B269)),ISNUMBER(SEARCH("hollandais",B269)),ISNUMBER(SEARCH("néerlandais",B269)),ISNUMBER(SEARCH("allemand",B269)),ISNUMBER(SEARCH("autrichien",B269)),ISNUMBER(SEARCH("suisse",B269)),ISNUMBER(SEARCH("anglais",B269)),ISNUMBER(SEARCH("britannique",B269)),ISNUMBER(SEARCH("écossais",B269)),ISNUMBER(SEARCH("irlandais",B269)),ISNUMBER(SEARCH("russe",B269)),ISNUMBER(SEARCH("portugais",B269)),ISNUMBER(SEARCH("danois",B269)),ISNUMBER(SEARCH("norvégien",B269)),ISNUMBER(SEARCH("suédois",B269)),ISNUMBER(SEARCH("finlandais",B269)),ISNUMBER(SEARCH("polonais",B269)),ISNUMBER(SEARCH("tchèque",B269)),ISNUMBER(SEARCH("hongrois",B269)),ISNUMBER(SEARCH("grec",B269)),ISNUMBER(SEARCH("byzantin",B269)),ISNUMBER(SEARCH("croate",B269)),ISNUMBER(SEARCH("ukrainien",B269)),ISNUMBER(SEARCH("bulgare",B269)),ISNUMBER(SEARCH("biélorusse",B269)),ISNUMBER(SEARCH("maltais",B269))),"Autres pays d'Europe",IF(OR(ISNUMBER(SEARCH("américain",B269)),ISNUMBER(SEARCH("mexicain",B269)),ISNUMBER(SEARCH("canadien",B269)),ISNUMBER(SEARCH("brésilien",B269)),ISNUMBER(SEARCH("argentin",B269))),"Amérique",IF(OR(ISNUMBER(SEARCH("chinois",B269)),ISNUMBER(SEARCH("japonais",B269)),ISNUMBER(SEARCH("coréen",B269)),ISNUMBER(SEARCH("indien",B269)),ISNUMBER(SEARCH("persan",B269)),ISNUMBER(SEARCH("iranien",B269))),"Asie","(non classée)"))))</f>
        <v/>
      </c>
    </row>
    <row r="270">
      <c r="A270" s="2" t="inlineStr">
        <is>
          <t>GUERCINO OU GUERCHIN</t>
        </is>
      </c>
      <c r="B270" s="2" t="inlineStr">
        <is>
          <t>italienne</t>
        </is>
      </c>
      <c r="C270" s="2" t="inlineStr">
        <is>
          <t>peinture</t>
        </is>
      </c>
      <c r="D270" s="2" t="inlineStr">
        <is>
          <t>17e</t>
        </is>
      </c>
      <c r="U270">
        <f>IF(ISNUMBER(SEARCH("fran",B270)),"France",IF(OR(ISNUMBER(SEARCH("italien",B270)),ISNUMBER(SEARCH("espagn",B270)),ISNUMBER(SEARCH("catalan",B270)),ISNUMBER(SEARCH("flamand",B270)),ISNUMBER(SEARCH("belge",B270)),ISNUMBER(SEARCH("hollandais",B270)),ISNUMBER(SEARCH("néerlandais",B270)),ISNUMBER(SEARCH("allemand",B270)),ISNUMBER(SEARCH("autrichien",B270)),ISNUMBER(SEARCH("suisse",B270)),ISNUMBER(SEARCH("anglais",B270)),ISNUMBER(SEARCH("britannique",B270)),ISNUMBER(SEARCH("écossais",B270)),ISNUMBER(SEARCH("irlandais",B270)),ISNUMBER(SEARCH("russe",B270)),ISNUMBER(SEARCH("portugais",B270)),ISNUMBER(SEARCH("danois",B270)),ISNUMBER(SEARCH("norvégien",B270)),ISNUMBER(SEARCH("suédois",B270)),ISNUMBER(SEARCH("finlandais",B270)),ISNUMBER(SEARCH("polonais",B270)),ISNUMBER(SEARCH("tchèque",B270)),ISNUMBER(SEARCH("hongrois",B270)),ISNUMBER(SEARCH("grec",B270)),ISNUMBER(SEARCH("byzantin",B270)),ISNUMBER(SEARCH("croate",B270)),ISNUMBER(SEARCH("ukrainien",B270)),ISNUMBER(SEARCH("bulgare",B270)),ISNUMBER(SEARCH("biélorusse",B270)),ISNUMBER(SEARCH("maltais",B270))),"Autres pays d'Europe",IF(OR(ISNUMBER(SEARCH("américain",B270)),ISNUMBER(SEARCH("mexicain",B270)),ISNUMBER(SEARCH("canadien",B270)),ISNUMBER(SEARCH("brésilien",B270)),ISNUMBER(SEARCH("argentin",B270))),"Amérique",IF(OR(ISNUMBER(SEARCH("chinois",B270)),ISNUMBER(SEARCH("japonais",B270)),ISNUMBER(SEARCH("coréen",B270)),ISNUMBER(SEARCH("indien",B270)),ISNUMBER(SEARCH("persan",B270)),ISNUMBER(SEARCH("iranien",B270))),"Asie","(non classée)"))))</f>
        <v/>
      </c>
    </row>
    <row r="271">
      <c r="A271" s="2" t="inlineStr">
        <is>
          <t>GABRIEL GRUPELLO</t>
        </is>
      </c>
      <c r="B271" s="2" t="inlineStr">
        <is>
          <t>flamande (Belgique)</t>
        </is>
      </c>
      <c r="C271" s="2" t="inlineStr">
        <is>
          <t>sculpture</t>
        </is>
      </c>
      <c r="D271" s="2" t="inlineStr">
        <is>
          <t>17e</t>
        </is>
      </c>
      <c r="U271">
        <f>IF(ISNUMBER(SEARCH("fran",B271)),"France",IF(OR(ISNUMBER(SEARCH("italien",B271)),ISNUMBER(SEARCH("espagn",B271)),ISNUMBER(SEARCH("catalan",B271)),ISNUMBER(SEARCH("flamand",B271)),ISNUMBER(SEARCH("belge",B271)),ISNUMBER(SEARCH("hollandais",B271)),ISNUMBER(SEARCH("néerlandais",B271)),ISNUMBER(SEARCH("allemand",B271)),ISNUMBER(SEARCH("autrichien",B271)),ISNUMBER(SEARCH("suisse",B271)),ISNUMBER(SEARCH("anglais",B271)),ISNUMBER(SEARCH("britannique",B271)),ISNUMBER(SEARCH("écossais",B271)),ISNUMBER(SEARCH("irlandais",B271)),ISNUMBER(SEARCH("russe",B271)),ISNUMBER(SEARCH("portugais",B271)),ISNUMBER(SEARCH("danois",B271)),ISNUMBER(SEARCH("norvégien",B271)),ISNUMBER(SEARCH("suédois",B271)),ISNUMBER(SEARCH("finlandais",B271)),ISNUMBER(SEARCH("polonais",B271)),ISNUMBER(SEARCH("tchèque",B271)),ISNUMBER(SEARCH("hongrois",B271)),ISNUMBER(SEARCH("grec",B271)),ISNUMBER(SEARCH("byzantin",B271)),ISNUMBER(SEARCH("croate",B271)),ISNUMBER(SEARCH("ukrainien",B271)),ISNUMBER(SEARCH("bulgare",B271)),ISNUMBER(SEARCH("biélorusse",B271)),ISNUMBER(SEARCH("maltais",B271))),"Autres pays d'Europe",IF(OR(ISNUMBER(SEARCH("américain",B271)),ISNUMBER(SEARCH("mexicain",B271)),ISNUMBER(SEARCH("canadien",B271)),ISNUMBER(SEARCH("brésilien",B271)),ISNUMBER(SEARCH("argentin",B271))),"Amérique",IF(OR(ISNUMBER(SEARCH("chinois",B271)),ISNUMBER(SEARCH("japonais",B271)),ISNUMBER(SEARCH("coréen",B271)),ISNUMBER(SEARCH("indien",B271)),ISNUMBER(SEARCH("persan",B271)),ISNUMBER(SEARCH("iranien",B271))),"Asie","(non classée)"))))</f>
        <v/>
      </c>
    </row>
    <row r="272">
      <c r="A272" s="2" t="inlineStr">
        <is>
          <t>GABRIEL METSU</t>
        </is>
      </c>
      <c r="B272" s="2" t="inlineStr">
        <is>
          <t>hollandaise (Pays-Bas)</t>
        </is>
      </c>
      <c r="C272" s="2" t="inlineStr">
        <is>
          <t>peinture</t>
        </is>
      </c>
      <c r="D272" s="2" t="inlineStr">
        <is>
          <t>17e</t>
        </is>
      </c>
      <c r="U272">
        <f>IF(ISNUMBER(SEARCH("fran",B272)),"France",IF(OR(ISNUMBER(SEARCH("italien",B272)),ISNUMBER(SEARCH("espagn",B272)),ISNUMBER(SEARCH("catalan",B272)),ISNUMBER(SEARCH("flamand",B272)),ISNUMBER(SEARCH("belge",B272)),ISNUMBER(SEARCH("hollandais",B272)),ISNUMBER(SEARCH("néerlandais",B272)),ISNUMBER(SEARCH("allemand",B272)),ISNUMBER(SEARCH("autrichien",B272)),ISNUMBER(SEARCH("suisse",B272)),ISNUMBER(SEARCH("anglais",B272)),ISNUMBER(SEARCH("britannique",B272)),ISNUMBER(SEARCH("écossais",B272)),ISNUMBER(SEARCH("irlandais",B272)),ISNUMBER(SEARCH("russe",B272)),ISNUMBER(SEARCH("portugais",B272)),ISNUMBER(SEARCH("danois",B272)),ISNUMBER(SEARCH("norvégien",B272)),ISNUMBER(SEARCH("suédois",B272)),ISNUMBER(SEARCH("finlandais",B272)),ISNUMBER(SEARCH("polonais",B272)),ISNUMBER(SEARCH("tchèque",B272)),ISNUMBER(SEARCH("hongrois",B272)),ISNUMBER(SEARCH("grec",B272)),ISNUMBER(SEARCH("byzantin",B272)),ISNUMBER(SEARCH("croate",B272)),ISNUMBER(SEARCH("ukrainien",B272)),ISNUMBER(SEARCH("bulgare",B272)),ISNUMBER(SEARCH("biélorusse",B272)),ISNUMBER(SEARCH("maltais",B272))),"Autres pays d'Europe",IF(OR(ISNUMBER(SEARCH("américain",B272)),ISNUMBER(SEARCH("mexicain",B272)),ISNUMBER(SEARCH("canadien",B272)),ISNUMBER(SEARCH("brésilien",B272)),ISNUMBER(SEARCH("argentin",B272))),"Amérique",IF(OR(ISNUMBER(SEARCH("chinois",B272)),ISNUMBER(SEARCH("japonais",B272)),ISNUMBER(SEARCH("coréen",B272)),ISNUMBER(SEARCH("indien",B272)),ISNUMBER(SEARCH("persan",B272)),ISNUMBER(SEARCH("iranien",B272))),"Asie","(non classée)"))))</f>
        <v/>
      </c>
    </row>
    <row r="273">
      <c r="A273" s="2" t="inlineStr">
        <is>
          <t>GASPAR BECERRA</t>
        </is>
      </c>
      <c r="B273" s="2" t="inlineStr">
        <is>
          <t>espagnole</t>
        </is>
      </c>
      <c r="C273" s="2" t="inlineStr">
        <is>
          <t>sculpture</t>
        </is>
      </c>
      <c r="D273" s="2" t="inlineStr">
        <is>
          <t>16e</t>
        </is>
      </c>
      <c r="U273">
        <f>IF(ISNUMBER(SEARCH("fran",B273)),"France",IF(OR(ISNUMBER(SEARCH("italien",B273)),ISNUMBER(SEARCH("espagn",B273)),ISNUMBER(SEARCH("catalan",B273)),ISNUMBER(SEARCH("flamand",B273)),ISNUMBER(SEARCH("belge",B273)),ISNUMBER(SEARCH("hollandais",B273)),ISNUMBER(SEARCH("néerlandais",B273)),ISNUMBER(SEARCH("allemand",B273)),ISNUMBER(SEARCH("autrichien",B273)),ISNUMBER(SEARCH("suisse",B273)),ISNUMBER(SEARCH("anglais",B273)),ISNUMBER(SEARCH("britannique",B273)),ISNUMBER(SEARCH("écossais",B273)),ISNUMBER(SEARCH("irlandais",B273)),ISNUMBER(SEARCH("russe",B273)),ISNUMBER(SEARCH("portugais",B273)),ISNUMBER(SEARCH("danois",B273)),ISNUMBER(SEARCH("norvégien",B273)),ISNUMBER(SEARCH("suédois",B273)),ISNUMBER(SEARCH("finlandais",B273)),ISNUMBER(SEARCH("polonais",B273)),ISNUMBER(SEARCH("tchèque",B273)),ISNUMBER(SEARCH("hongrois",B273)),ISNUMBER(SEARCH("grec",B273)),ISNUMBER(SEARCH("byzantin",B273)),ISNUMBER(SEARCH("croate",B273)),ISNUMBER(SEARCH("ukrainien",B273)),ISNUMBER(SEARCH("bulgare",B273)),ISNUMBER(SEARCH("biélorusse",B273)),ISNUMBER(SEARCH("maltais",B273))),"Autres pays d'Europe",IF(OR(ISNUMBER(SEARCH("américain",B273)),ISNUMBER(SEARCH("mexicain",B273)),ISNUMBER(SEARCH("canadien",B273)),ISNUMBER(SEARCH("brésilien",B273)),ISNUMBER(SEARCH("argentin",B273))),"Amérique",IF(OR(ISNUMBER(SEARCH("chinois",B273)),ISNUMBER(SEARCH("japonais",B273)),ISNUMBER(SEARCH("coréen",B273)),ISNUMBER(SEARCH("indien",B273)),ISNUMBER(SEARCH("persan",B273)),ISNUMBER(SEARCH("iranien",B273))),"Asie","(non classée)"))))</f>
        <v/>
      </c>
    </row>
    <row r="274">
      <c r="A274" s="2" t="inlineStr">
        <is>
          <t>GASPARD MARSY</t>
        </is>
      </c>
      <c r="B274" s="2" t="inlineStr">
        <is>
          <t>flamande (Belgique)</t>
        </is>
      </c>
      <c r="C274" s="2" t="inlineStr">
        <is>
          <t>sculpture</t>
        </is>
      </c>
      <c r="D274" s="2" t="inlineStr">
        <is>
          <t>17e</t>
        </is>
      </c>
      <c r="U274">
        <f>IF(ISNUMBER(SEARCH("fran",B274)),"France",IF(OR(ISNUMBER(SEARCH("italien",B274)),ISNUMBER(SEARCH("espagn",B274)),ISNUMBER(SEARCH("catalan",B274)),ISNUMBER(SEARCH("flamand",B274)),ISNUMBER(SEARCH("belge",B274)),ISNUMBER(SEARCH("hollandais",B274)),ISNUMBER(SEARCH("néerlandais",B274)),ISNUMBER(SEARCH("allemand",B274)),ISNUMBER(SEARCH("autrichien",B274)),ISNUMBER(SEARCH("suisse",B274)),ISNUMBER(SEARCH("anglais",B274)),ISNUMBER(SEARCH("britannique",B274)),ISNUMBER(SEARCH("écossais",B274)),ISNUMBER(SEARCH("irlandais",B274)),ISNUMBER(SEARCH("russe",B274)),ISNUMBER(SEARCH("portugais",B274)),ISNUMBER(SEARCH("danois",B274)),ISNUMBER(SEARCH("norvégien",B274)),ISNUMBER(SEARCH("suédois",B274)),ISNUMBER(SEARCH("finlandais",B274)),ISNUMBER(SEARCH("polonais",B274)),ISNUMBER(SEARCH("tchèque",B274)),ISNUMBER(SEARCH("hongrois",B274)),ISNUMBER(SEARCH("grec",B274)),ISNUMBER(SEARCH("byzantin",B274)),ISNUMBER(SEARCH("croate",B274)),ISNUMBER(SEARCH("ukrainien",B274)),ISNUMBER(SEARCH("bulgare",B274)),ISNUMBER(SEARCH("biélorusse",B274)),ISNUMBER(SEARCH("maltais",B274))),"Autres pays d'Europe",IF(OR(ISNUMBER(SEARCH("américain",B274)),ISNUMBER(SEARCH("mexicain",B274)),ISNUMBER(SEARCH("canadien",B274)),ISNUMBER(SEARCH("brésilien",B274)),ISNUMBER(SEARCH("argentin",B274))),"Amérique",IF(OR(ISNUMBER(SEARCH("chinois",B274)),ISNUMBER(SEARCH("japonais",B274)),ISNUMBER(SEARCH("coréen",B274)),ISNUMBER(SEARCH("indien",B274)),ISNUMBER(SEARCH("persan",B274)),ISNUMBER(SEARCH("iranien",B274))),"Asie","(non classée)"))))</f>
        <v/>
      </c>
    </row>
    <row r="275">
      <c r="A275" s="2" t="inlineStr">
        <is>
          <t>GENTILE BELLINI</t>
        </is>
      </c>
      <c r="B275" s="2" t="inlineStr">
        <is>
          <t>italienne</t>
        </is>
      </c>
      <c r="C275" s="2" t="inlineStr">
        <is>
          <t>peinture</t>
        </is>
      </c>
      <c r="D275" s="2" t="inlineStr">
        <is>
          <t>15e</t>
        </is>
      </c>
      <c r="U275">
        <f>IF(ISNUMBER(SEARCH("fran",B275)),"France",IF(OR(ISNUMBER(SEARCH("italien",B275)),ISNUMBER(SEARCH("espagn",B275)),ISNUMBER(SEARCH("catalan",B275)),ISNUMBER(SEARCH("flamand",B275)),ISNUMBER(SEARCH("belge",B275)),ISNUMBER(SEARCH("hollandais",B275)),ISNUMBER(SEARCH("néerlandais",B275)),ISNUMBER(SEARCH("allemand",B275)),ISNUMBER(SEARCH("autrichien",B275)),ISNUMBER(SEARCH("suisse",B275)),ISNUMBER(SEARCH("anglais",B275)),ISNUMBER(SEARCH("britannique",B275)),ISNUMBER(SEARCH("écossais",B275)),ISNUMBER(SEARCH("irlandais",B275)),ISNUMBER(SEARCH("russe",B275)),ISNUMBER(SEARCH("portugais",B275)),ISNUMBER(SEARCH("danois",B275)),ISNUMBER(SEARCH("norvégien",B275)),ISNUMBER(SEARCH("suédois",B275)),ISNUMBER(SEARCH("finlandais",B275)),ISNUMBER(SEARCH("polonais",B275)),ISNUMBER(SEARCH("tchèque",B275)),ISNUMBER(SEARCH("hongrois",B275)),ISNUMBER(SEARCH("grec",B275)),ISNUMBER(SEARCH("byzantin",B275)),ISNUMBER(SEARCH("croate",B275)),ISNUMBER(SEARCH("ukrainien",B275)),ISNUMBER(SEARCH("bulgare",B275)),ISNUMBER(SEARCH("biélorusse",B275)),ISNUMBER(SEARCH("maltais",B275))),"Autres pays d'Europe",IF(OR(ISNUMBER(SEARCH("américain",B275)),ISNUMBER(SEARCH("mexicain",B275)),ISNUMBER(SEARCH("canadien",B275)),ISNUMBER(SEARCH("brésilien",B275)),ISNUMBER(SEARCH("argentin",B275))),"Amérique",IF(OR(ISNUMBER(SEARCH("chinois",B275)),ISNUMBER(SEARCH("japonais",B275)),ISNUMBER(SEARCH("coréen",B275)),ISNUMBER(SEARCH("indien",B275)),ISNUMBER(SEARCH("persan",B275)),ISNUMBER(SEARCH("iranien",B275))),"Asie","(non classée)"))))</f>
        <v/>
      </c>
    </row>
    <row r="276">
      <c r="A276" s="2" t="inlineStr">
        <is>
          <t>GENTILE DA FABRIANO</t>
        </is>
      </c>
      <c r="B276" s="2" t="inlineStr">
        <is>
          <t>italienne</t>
        </is>
      </c>
      <c r="C276" s="2" t="inlineStr">
        <is>
          <t>peinture</t>
        </is>
      </c>
      <c r="D276" s="2" t="inlineStr">
        <is>
          <t>15e</t>
        </is>
      </c>
      <c r="U276">
        <f>IF(ISNUMBER(SEARCH("fran",B276)),"France",IF(OR(ISNUMBER(SEARCH("italien",B276)),ISNUMBER(SEARCH("espagn",B276)),ISNUMBER(SEARCH("catalan",B276)),ISNUMBER(SEARCH("flamand",B276)),ISNUMBER(SEARCH("belge",B276)),ISNUMBER(SEARCH("hollandais",B276)),ISNUMBER(SEARCH("néerlandais",B276)),ISNUMBER(SEARCH("allemand",B276)),ISNUMBER(SEARCH("autrichien",B276)),ISNUMBER(SEARCH("suisse",B276)),ISNUMBER(SEARCH("anglais",B276)),ISNUMBER(SEARCH("britannique",B276)),ISNUMBER(SEARCH("écossais",B276)),ISNUMBER(SEARCH("irlandais",B276)),ISNUMBER(SEARCH("russe",B276)),ISNUMBER(SEARCH("portugais",B276)),ISNUMBER(SEARCH("danois",B276)),ISNUMBER(SEARCH("norvégien",B276)),ISNUMBER(SEARCH("suédois",B276)),ISNUMBER(SEARCH("finlandais",B276)),ISNUMBER(SEARCH("polonais",B276)),ISNUMBER(SEARCH("tchèque",B276)),ISNUMBER(SEARCH("hongrois",B276)),ISNUMBER(SEARCH("grec",B276)),ISNUMBER(SEARCH("byzantin",B276)),ISNUMBER(SEARCH("croate",B276)),ISNUMBER(SEARCH("ukrainien",B276)),ISNUMBER(SEARCH("bulgare",B276)),ISNUMBER(SEARCH("biélorusse",B276)),ISNUMBER(SEARCH("maltais",B276))),"Autres pays d'Europe",IF(OR(ISNUMBER(SEARCH("américain",B276)),ISNUMBER(SEARCH("mexicain",B276)),ISNUMBER(SEARCH("canadien",B276)),ISNUMBER(SEARCH("brésilien",B276)),ISNUMBER(SEARCH("argentin",B276))),"Amérique",IF(OR(ISNUMBER(SEARCH("chinois",B276)),ISNUMBER(SEARCH("japonais",B276)),ISNUMBER(SEARCH("coréen",B276)),ISNUMBER(SEARCH("indien",B276)),ISNUMBER(SEARCH("persan",B276)),ISNUMBER(SEARCH("iranien",B276))),"Asie","(non classée)"))))</f>
        <v/>
      </c>
    </row>
    <row r="277">
      <c r="A277" s="2" t="inlineStr">
        <is>
          <t>GEOR RAPAHEL DONNER</t>
        </is>
      </c>
      <c r="B277" s="2" t="inlineStr">
        <is>
          <t>autrichienne</t>
        </is>
      </c>
      <c r="C277" s="2" t="inlineStr">
        <is>
          <t>sculpture</t>
        </is>
      </c>
      <c r="D277" s="2" t="inlineStr">
        <is>
          <t>18e</t>
        </is>
      </c>
      <c r="U277">
        <f>IF(ISNUMBER(SEARCH("fran",B277)),"France",IF(OR(ISNUMBER(SEARCH("italien",B277)),ISNUMBER(SEARCH("espagn",B277)),ISNUMBER(SEARCH("catalan",B277)),ISNUMBER(SEARCH("flamand",B277)),ISNUMBER(SEARCH("belge",B277)),ISNUMBER(SEARCH("hollandais",B277)),ISNUMBER(SEARCH("néerlandais",B277)),ISNUMBER(SEARCH("allemand",B277)),ISNUMBER(SEARCH("autrichien",B277)),ISNUMBER(SEARCH("suisse",B277)),ISNUMBER(SEARCH("anglais",B277)),ISNUMBER(SEARCH("britannique",B277)),ISNUMBER(SEARCH("écossais",B277)),ISNUMBER(SEARCH("irlandais",B277)),ISNUMBER(SEARCH("russe",B277)),ISNUMBER(SEARCH("portugais",B277)),ISNUMBER(SEARCH("danois",B277)),ISNUMBER(SEARCH("norvégien",B277)),ISNUMBER(SEARCH("suédois",B277)),ISNUMBER(SEARCH("finlandais",B277)),ISNUMBER(SEARCH("polonais",B277)),ISNUMBER(SEARCH("tchèque",B277)),ISNUMBER(SEARCH("hongrois",B277)),ISNUMBER(SEARCH("grec",B277)),ISNUMBER(SEARCH("byzantin",B277)),ISNUMBER(SEARCH("croate",B277)),ISNUMBER(SEARCH("ukrainien",B277)),ISNUMBER(SEARCH("bulgare",B277)),ISNUMBER(SEARCH("biélorusse",B277)),ISNUMBER(SEARCH("maltais",B277))),"Autres pays d'Europe",IF(OR(ISNUMBER(SEARCH("américain",B277)),ISNUMBER(SEARCH("mexicain",B277)),ISNUMBER(SEARCH("canadien",B277)),ISNUMBER(SEARCH("brésilien",B277)),ISNUMBER(SEARCH("argentin",B277))),"Amérique",IF(OR(ISNUMBER(SEARCH("chinois",B277)),ISNUMBER(SEARCH("japonais",B277)),ISNUMBER(SEARCH("coréen",B277)),ISNUMBER(SEARCH("indien",B277)),ISNUMBER(SEARCH("persan",B277)),ISNUMBER(SEARCH("iranien",B277))),"Asie","(non classée)"))))</f>
        <v/>
      </c>
    </row>
    <row r="278">
      <c r="A278" s="2" t="inlineStr">
        <is>
          <t>GEORG KOLBE</t>
        </is>
      </c>
      <c r="B278" s="2" t="inlineStr">
        <is>
          <t>allemande</t>
        </is>
      </c>
      <c r="C278" s="2" t="inlineStr">
        <is>
          <t>sculpture</t>
        </is>
      </c>
      <c r="D278" s="2" t="inlineStr">
        <is>
          <t>20e</t>
        </is>
      </c>
      <c r="U278">
        <f>IF(ISNUMBER(SEARCH("fran",B278)),"France",IF(OR(ISNUMBER(SEARCH("italien",B278)),ISNUMBER(SEARCH("espagn",B278)),ISNUMBER(SEARCH("catalan",B278)),ISNUMBER(SEARCH("flamand",B278)),ISNUMBER(SEARCH("belge",B278)),ISNUMBER(SEARCH("hollandais",B278)),ISNUMBER(SEARCH("néerlandais",B278)),ISNUMBER(SEARCH("allemand",B278)),ISNUMBER(SEARCH("autrichien",B278)),ISNUMBER(SEARCH("suisse",B278)),ISNUMBER(SEARCH("anglais",B278)),ISNUMBER(SEARCH("britannique",B278)),ISNUMBER(SEARCH("écossais",B278)),ISNUMBER(SEARCH("irlandais",B278)),ISNUMBER(SEARCH("russe",B278)),ISNUMBER(SEARCH("portugais",B278)),ISNUMBER(SEARCH("danois",B278)),ISNUMBER(SEARCH("norvégien",B278)),ISNUMBER(SEARCH("suédois",B278)),ISNUMBER(SEARCH("finlandais",B278)),ISNUMBER(SEARCH("polonais",B278)),ISNUMBER(SEARCH("tchèque",B278)),ISNUMBER(SEARCH("hongrois",B278)),ISNUMBER(SEARCH("grec",B278)),ISNUMBER(SEARCH("byzantin",B278)),ISNUMBER(SEARCH("croate",B278)),ISNUMBER(SEARCH("ukrainien",B278)),ISNUMBER(SEARCH("bulgare",B278)),ISNUMBER(SEARCH("biélorusse",B278)),ISNUMBER(SEARCH("maltais",B278))),"Autres pays d'Europe",IF(OR(ISNUMBER(SEARCH("américain",B278)),ISNUMBER(SEARCH("mexicain",B278)),ISNUMBER(SEARCH("canadien",B278)),ISNUMBER(SEARCH("brésilien",B278)),ISNUMBER(SEARCH("argentin",B278))),"Amérique",IF(OR(ISNUMBER(SEARCH("chinois",B278)),ISNUMBER(SEARCH("japonais",B278)),ISNUMBER(SEARCH("coréen",B278)),ISNUMBER(SEARCH("indien",B278)),ISNUMBER(SEARCH("persan",B278)),ISNUMBER(SEARCH("iranien",B278))),"Asie","(non classée)"))))</f>
        <v/>
      </c>
    </row>
    <row r="279">
      <c r="A279" s="2" t="inlineStr">
        <is>
          <t>GEORG PETEL</t>
        </is>
      </c>
      <c r="B279" s="2" t="inlineStr">
        <is>
          <t>allemande</t>
        </is>
      </c>
      <c r="C279" s="2" t="inlineStr">
        <is>
          <t>sculpture</t>
        </is>
      </c>
      <c r="D279" s="2" t="inlineStr">
        <is>
          <t>17e</t>
        </is>
      </c>
      <c r="U279">
        <f>IF(ISNUMBER(SEARCH("fran",B279)),"France",IF(OR(ISNUMBER(SEARCH("italien",B279)),ISNUMBER(SEARCH("espagn",B279)),ISNUMBER(SEARCH("catalan",B279)),ISNUMBER(SEARCH("flamand",B279)),ISNUMBER(SEARCH("belge",B279)),ISNUMBER(SEARCH("hollandais",B279)),ISNUMBER(SEARCH("néerlandais",B279)),ISNUMBER(SEARCH("allemand",B279)),ISNUMBER(SEARCH("autrichien",B279)),ISNUMBER(SEARCH("suisse",B279)),ISNUMBER(SEARCH("anglais",B279)),ISNUMBER(SEARCH("britannique",B279)),ISNUMBER(SEARCH("écossais",B279)),ISNUMBER(SEARCH("irlandais",B279)),ISNUMBER(SEARCH("russe",B279)),ISNUMBER(SEARCH("portugais",B279)),ISNUMBER(SEARCH("danois",B279)),ISNUMBER(SEARCH("norvégien",B279)),ISNUMBER(SEARCH("suédois",B279)),ISNUMBER(SEARCH("finlandais",B279)),ISNUMBER(SEARCH("polonais",B279)),ISNUMBER(SEARCH("tchèque",B279)),ISNUMBER(SEARCH("hongrois",B279)),ISNUMBER(SEARCH("grec",B279)),ISNUMBER(SEARCH("byzantin",B279)),ISNUMBER(SEARCH("croate",B279)),ISNUMBER(SEARCH("ukrainien",B279)),ISNUMBER(SEARCH("bulgare",B279)),ISNUMBER(SEARCH("biélorusse",B279)),ISNUMBER(SEARCH("maltais",B279))),"Autres pays d'Europe",IF(OR(ISNUMBER(SEARCH("américain",B279)),ISNUMBER(SEARCH("mexicain",B279)),ISNUMBER(SEARCH("canadien",B279)),ISNUMBER(SEARCH("brésilien",B279)),ISNUMBER(SEARCH("argentin",B279))),"Amérique",IF(OR(ISNUMBER(SEARCH("chinois",B279)),ISNUMBER(SEARCH("japonais",B279)),ISNUMBER(SEARCH("coréen",B279)),ISNUMBER(SEARCH("indien",B279)),ISNUMBER(SEARCH("persan",B279)),ISNUMBER(SEARCH("iranien",B279))),"Asie","(non classée)"))))</f>
        <v/>
      </c>
    </row>
    <row r="280">
      <c r="A280" s="2" t="inlineStr">
        <is>
          <t>GEORGE STUBBS</t>
        </is>
      </c>
      <c r="B280" s="2" t="inlineStr">
        <is>
          <t>anglaise (Royaume-Uni)</t>
        </is>
      </c>
      <c r="C280" s="2" t="inlineStr">
        <is>
          <t>peinture</t>
        </is>
      </c>
      <c r="D280" s="2" t="inlineStr">
        <is>
          <t>18e</t>
        </is>
      </c>
      <c r="U280">
        <f>IF(ISNUMBER(SEARCH("fran",B280)),"France",IF(OR(ISNUMBER(SEARCH("italien",B280)),ISNUMBER(SEARCH("espagn",B280)),ISNUMBER(SEARCH("catalan",B280)),ISNUMBER(SEARCH("flamand",B280)),ISNUMBER(SEARCH("belge",B280)),ISNUMBER(SEARCH("hollandais",B280)),ISNUMBER(SEARCH("néerlandais",B280)),ISNUMBER(SEARCH("allemand",B280)),ISNUMBER(SEARCH("autrichien",B280)),ISNUMBER(SEARCH("suisse",B280)),ISNUMBER(SEARCH("anglais",B280)),ISNUMBER(SEARCH("britannique",B280)),ISNUMBER(SEARCH("écossais",B280)),ISNUMBER(SEARCH("irlandais",B280)),ISNUMBER(SEARCH("russe",B280)),ISNUMBER(SEARCH("portugais",B280)),ISNUMBER(SEARCH("danois",B280)),ISNUMBER(SEARCH("norvégien",B280)),ISNUMBER(SEARCH("suédois",B280)),ISNUMBER(SEARCH("finlandais",B280)),ISNUMBER(SEARCH("polonais",B280)),ISNUMBER(SEARCH("tchèque",B280)),ISNUMBER(SEARCH("hongrois",B280)),ISNUMBER(SEARCH("grec",B280)),ISNUMBER(SEARCH("byzantin",B280)),ISNUMBER(SEARCH("croate",B280)),ISNUMBER(SEARCH("ukrainien",B280)),ISNUMBER(SEARCH("bulgare",B280)),ISNUMBER(SEARCH("biélorusse",B280)),ISNUMBER(SEARCH("maltais",B280))),"Autres pays d'Europe",IF(OR(ISNUMBER(SEARCH("américain",B280)),ISNUMBER(SEARCH("mexicain",B280)),ISNUMBER(SEARCH("canadien",B280)),ISNUMBER(SEARCH("brésilien",B280)),ISNUMBER(SEARCH("argentin",B280))),"Amérique",IF(OR(ISNUMBER(SEARCH("chinois",B280)),ISNUMBER(SEARCH("japonais",B280)),ISNUMBER(SEARCH("coréen",B280)),ISNUMBER(SEARCH("indien",B280)),ISNUMBER(SEARCH("persan",B280)),ISNUMBER(SEARCH("iranien",B280))),"Asie","(non classée)"))))</f>
        <v/>
      </c>
    </row>
    <row r="281">
      <c r="A281" s="2" t="inlineStr">
        <is>
          <t>GEORGES SEURAT</t>
        </is>
      </c>
      <c r="B281" s="2" t="inlineStr">
        <is>
          <t>française</t>
        </is>
      </c>
      <c r="C281" s="2" t="inlineStr">
        <is>
          <t>peinture</t>
        </is>
      </c>
      <c r="D281" s="2" t="inlineStr">
        <is>
          <t>19e</t>
        </is>
      </c>
      <c r="U281">
        <f>IF(ISNUMBER(SEARCH("fran",B281)),"France",IF(OR(ISNUMBER(SEARCH("italien",B281)),ISNUMBER(SEARCH("espagn",B281)),ISNUMBER(SEARCH("catalan",B281)),ISNUMBER(SEARCH("flamand",B281)),ISNUMBER(SEARCH("belge",B281)),ISNUMBER(SEARCH("hollandais",B281)),ISNUMBER(SEARCH("néerlandais",B281)),ISNUMBER(SEARCH("allemand",B281)),ISNUMBER(SEARCH("autrichien",B281)),ISNUMBER(SEARCH("suisse",B281)),ISNUMBER(SEARCH("anglais",B281)),ISNUMBER(SEARCH("britannique",B281)),ISNUMBER(SEARCH("écossais",B281)),ISNUMBER(SEARCH("irlandais",B281)),ISNUMBER(SEARCH("russe",B281)),ISNUMBER(SEARCH("portugais",B281)),ISNUMBER(SEARCH("danois",B281)),ISNUMBER(SEARCH("norvégien",B281)),ISNUMBER(SEARCH("suédois",B281)),ISNUMBER(SEARCH("finlandais",B281)),ISNUMBER(SEARCH("polonais",B281)),ISNUMBER(SEARCH("tchèque",B281)),ISNUMBER(SEARCH("hongrois",B281)),ISNUMBER(SEARCH("grec",B281)),ISNUMBER(SEARCH("byzantin",B281)),ISNUMBER(SEARCH("croate",B281)),ISNUMBER(SEARCH("ukrainien",B281)),ISNUMBER(SEARCH("bulgare",B281)),ISNUMBER(SEARCH("biélorusse",B281)),ISNUMBER(SEARCH("maltais",B281))),"Autres pays d'Europe",IF(OR(ISNUMBER(SEARCH("américain",B281)),ISNUMBER(SEARCH("mexicain",B281)),ISNUMBER(SEARCH("canadien",B281)),ISNUMBER(SEARCH("brésilien",B281)),ISNUMBER(SEARCH("argentin",B281))),"Amérique",IF(OR(ISNUMBER(SEARCH("chinois",B281)),ISNUMBER(SEARCH("japonais",B281)),ISNUMBER(SEARCH("coréen",B281)),ISNUMBER(SEARCH("indien",B281)),ISNUMBER(SEARCH("persan",B281)),ISNUMBER(SEARCH("iranien",B281))),"Asie","(non classée)"))))</f>
        <v/>
      </c>
    </row>
    <row r="282">
      <c r="A282" s="2" t="inlineStr">
        <is>
          <t>GEORGES DE LA TOUR</t>
        </is>
      </c>
      <c r="B282" s="2" t="inlineStr">
        <is>
          <t>française</t>
        </is>
      </c>
      <c r="C282" s="2" t="inlineStr">
        <is>
          <t>peinture</t>
        </is>
      </c>
      <c r="D282" s="2" t="inlineStr">
        <is>
          <t>17e</t>
        </is>
      </c>
      <c r="U282">
        <f>IF(ISNUMBER(SEARCH("fran",B282)),"France",IF(OR(ISNUMBER(SEARCH("italien",B282)),ISNUMBER(SEARCH("espagn",B282)),ISNUMBER(SEARCH("catalan",B282)),ISNUMBER(SEARCH("flamand",B282)),ISNUMBER(SEARCH("belge",B282)),ISNUMBER(SEARCH("hollandais",B282)),ISNUMBER(SEARCH("néerlandais",B282)),ISNUMBER(SEARCH("allemand",B282)),ISNUMBER(SEARCH("autrichien",B282)),ISNUMBER(SEARCH("suisse",B282)),ISNUMBER(SEARCH("anglais",B282)),ISNUMBER(SEARCH("britannique",B282)),ISNUMBER(SEARCH("écossais",B282)),ISNUMBER(SEARCH("irlandais",B282)),ISNUMBER(SEARCH("russe",B282)),ISNUMBER(SEARCH("portugais",B282)),ISNUMBER(SEARCH("danois",B282)),ISNUMBER(SEARCH("norvégien",B282)),ISNUMBER(SEARCH("suédois",B282)),ISNUMBER(SEARCH("finlandais",B282)),ISNUMBER(SEARCH("polonais",B282)),ISNUMBER(SEARCH("tchèque",B282)),ISNUMBER(SEARCH("hongrois",B282)),ISNUMBER(SEARCH("grec",B282)),ISNUMBER(SEARCH("byzantin",B282)),ISNUMBER(SEARCH("croate",B282)),ISNUMBER(SEARCH("ukrainien",B282)),ISNUMBER(SEARCH("bulgare",B282)),ISNUMBER(SEARCH("biélorusse",B282)),ISNUMBER(SEARCH("maltais",B282))),"Autres pays d'Europe",IF(OR(ISNUMBER(SEARCH("américain",B282)),ISNUMBER(SEARCH("mexicain",B282)),ISNUMBER(SEARCH("canadien",B282)),ISNUMBER(SEARCH("brésilien",B282)),ISNUMBER(SEARCH("argentin",B282))),"Amérique",IF(OR(ISNUMBER(SEARCH("chinois",B282)),ISNUMBER(SEARCH("japonais",B282)),ISNUMBER(SEARCH("coréen",B282)),ISNUMBER(SEARCH("indien",B282)),ISNUMBER(SEARCH("persan",B282)),ISNUMBER(SEARCH("iranien",B282))),"Asie","(non classée)"))))</f>
        <v/>
      </c>
    </row>
    <row r="283">
      <c r="A283" s="2" t="inlineStr">
        <is>
          <t>GERARD DAVID</t>
        </is>
      </c>
      <c r="B283" s="2" t="inlineStr">
        <is>
          <t>hollandaise (Pays-Bas)</t>
        </is>
      </c>
      <c r="C283" s="2" t="inlineStr">
        <is>
          <t>peinture</t>
        </is>
      </c>
      <c r="D283" s="2" t="inlineStr">
        <is>
          <t>15e</t>
        </is>
      </c>
      <c r="U283">
        <f>IF(ISNUMBER(SEARCH("fran",B283)),"France",IF(OR(ISNUMBER(SEARCH("italien",B283)),ISNUMBER(SEARCH("espagn",B283)),ISNUMBER(SEARCH("catalan",B283)),ISNUMBER(SEARCH("flamand",B283)),ISNUMBER(SEARCH("belge",B283)),ISNUMBER(SEARCH("hollandais",B283)),ISNUMBER(SEARCH("néerlandais",B283)),ISNUMBER(SEARCH("allemand",B283)),ISNUMBER(SEARCH("autrichien",B283)),ISNUMBER(SEARCH("suisse",B283)),ISNUMBER(SEARCH("anglais",B283)),ISNUMBER(SEARCH("britannique",B283)),ISNUMBER(SEARCH("écossais",B283)),ISNUMBER(SEARCH("irlandais",B283)),ISNUMBER(SEARCH("russe",B283)),ISNUMBER(SEARCH("portugais",B283)),ISNUMBER(SEARCH("danois",B283)),ISNUMBER(SEARCH("norvégien",B283)),ISNUMBER(SEARCH("suédois",B283)),ISNUMBER(SEARCH("finlandais",B283)),ISNUMBER(SEARCH("polonais",B283)),ISNUMBER(SEARCH("tchèque",B283)),ISNUMBER(SEARCH("hongrois",B283)),ISNUMBER(SEARCH("grec",B283)),ISNUMBER(SEARCH("byzantin",B283)),ISNUMBER(SEARCH("croate",B283)),ISNUMBER(SEARCH("ukrainien",B283)),ISNUMBER(SEARCH("bulgare",B283)),ISNUMBER(SEARCH("biélorusse",B283)),ISNUMBER(SEARCH("maltais",B283))),"Autres pays d'Europe",IF(OR(ISNUMBER(SEARCH("américain",B283)),ISNUMBER(SEARCH("mexicain",B283)),ISNUMBER(SEARCH("canadien",B283)),ISNUMBER(SEARCH("brésilien",B283)),ISNUMBER(SEARCH("argentin",B283))),"Amérique",IF(OR(ISNUMBER(SEARCH("chinois",B283)),ISNUMBER(SEARCH("japonais",B283)),ISNUMBER(SEARCH("coréen",B283)),ISNUMBER(SEARCH("indien",B283)),ISNUMBER(SEARCH("persan",B283)),ISNUMBER(SEARCH("iranien",B283))),"Asie","(non classée)"))))</f>
        <v/>
      </c>
    </row>
    <row r="284">
      <c r="A284" s="2" t="inlineStr">
        <is>
          <t>GERARD DOU</t>
        </is>
      </c>
      <c r="B284" s="2" t="inlineStr">
        <is>
          <t>hollandaise (Pays-Bas)</t>
        </is>
      </c>
      <c r="C284" s="2" t="inlineStr">
        <is>
          <t>peinture</t>
        </is>
      </c>
      <c r="D284" s="2" t="inlineStr">
        <is>
          <t>17e</t>
        </is>
      </c>
      <c r="U284">
        <f>IF(ISNUMBER(SEARCH("fran",B284)),"France",IF(OR(ISNUMBER(SEARCH("italien",B284)),ISNUMBER(SEARCH("espagn",B284)),ISNUMBER(SEARCH("catalan",B284)),ISNUMBER(SEARCH("flamand",B284)),ISNUMBER(SEARCH("belge",B284)),ISNUMBER(SEARCH("hollandais",B284)),ISNUMBER(SEARCH("néerlandais",B284)),ISNUMBER(SEARCH("allemand",B284)),ISNUMBER(SEARCH("autrichien",B284)),ISNUMBER(SEARCH("suisse",B284)),ISNUMBER(SEARCH("anglais",B284)),ISNUMBER(SEARCH("britannique",B284)),ISNUMBER(SEARCH("écossais",B284)),ISNUMBER(SEARCH("irlandais",B284)),ISNUMBER(SEARCH("russe",B284)),ISNUMBER(SEARCH("portugais",B284)),ISNUMBER(SEARCH("danois",B284)),ISNUMBER(SEARCH("norvégien",B284)),ISNUMBER(SEARCH("suédois",B284)),ISNUMBER(SEARCH("finlandais",B284)),ISNUMBER(SEARCH("polonais",B284)),ISNUMBER(SEARCH("tchèque",B284)),ISNUMBER(SEARCH("hongrois",B284)),ISNUMBER(SEARCH("grec",B284)),ISNUMBER(SEARCH("byzantin",B284)),ISNUMBER(SEARCH("croate",B284)),ISNUMBER(SEARCH("ukrainien",B284)),ISNUMBER(SEARCH("bulgare",B284)),ISNUMBER(SEARCH("biélorusse",B284)),ISNUMBER(SEARCH("maltais",B284))),"Autres pays d'Europe",IF(OR(ISNUMBER(SEARCH("américain",B284)),ISNUMBER(SEARCH("mexicain",B284)),ISNUMBER(SEARCH("canadien",B284)),ISNUMBER(SEARCH("brésilien",B284)),ISNUMBER(SEARCH("argentin",B284))),"Amérique",IF(OR(ISNUMBER(SEARCH("chinois",B284)),ISNUMBER(SEARCH("japonais",B284)),ISNUMBER(SEARCH("coréen",B284)),ISNUMBER(SEARCH("indien",B284)),ISNUMBER(SEARCH("persan",B284)),ISNUMBER(SEARCH("iranien",B284))),"Asie","(non classée)"))))</f>
        <v/>
      </c>
    </row>
    <row r="285">
      <c r="A285" s="2" t="inlineStr">
        <is>
          <t>GERMAIN PILON</t>
        </is>
      </c>
      <c r="B285" s="2" t="inlineStr">
        <is>
          <t>française</t>
        </is>
      </c>
      <c r="C285" s="2" t="inlineStr">
        <is>
          <t>sculpture</t>
        </is>
      </c>
      <c r="D285" s="2" t="inlineStr">
        <is>
          <t>16e</t>
        </is>
      </c>
      <c r="U285">
        <f>IF(ISNUMBER(SEARCH("fran",B285)),"France",IF(OR(ISNUMBER(SEARCH("italien",B285)),ISNUMBER(SEARCH("espagn",B285)),ISNUMBER(SEARCH("catalan",B285)),ISNUMBER(SEARCH("flamand",B285)),ISNUMBER(SEARCH("belge",B285)),ISNUMBER(SEARCH("hollandais",B285)),ISNUMBER(SEARCH("néerlandais",B285)),ISNUMBER(SEARCH("allemand",B285)),ISNUMBER(SEARCH("autrichien",B285)),ISNUMBER(SEARCH("suisse",B285)),ISNUMBER(SEARCH("anglais",B285)),ISNUMBER(SEARCH("britannique",B285)),ISNUMBER(SEARCH("écossais",B285)),ISNUMBER(SEARCH("irlandais",B285)),ISNUMBER(SEARCH("russe",B285)),ISNUMBER(SEARCH("portugais",B285)),ISNUMBER(SEARCH("danois",B285)),ISNUMBER(SEARCH("norvégien",B285)),ISNUMBER(SEARCH("suédois",B285)),ISNUMBER(SEARCH("finlandais",B285)),ISNUMBER(SEARCH("polonais",B285)),ISNUMBER(SEARCH("tchèque",B285)),ISNUMBER(SEARCH("hongrois",B285)),ISNUMBER(SEARCH("grec",B285)),ISNUMBER(SEARCH("byzantin",B285)),ISNUMBER(SEARCH("croate",B285)),ISNUMBER(SEARCH("ukrainien",B285)),ISNUMBER(SEARCH("bulgare",B285)),ISNUMBER(SEARCH("biélorusse",B285)),ISNUMBER(SEARCH("maltais",B285))),"Autres pays d'Europe",IF(OR(ISNUMBER(SEARCH("américain",B285)),ISNUMBER(SEARCH("mexicain",B285)),ISNUMBER(SEARCH("canadien",B285)),ISNUMBER(SEARCH("brésilien",B285)),ISNUMBER(SEARCH("argentin",B285))),"Amérique",IF(OR(ISNUMBER(SEARCH("chinois",B285)),ISNUMBER(SEARCH("japonais",B285)),ISNUMBER(SEARCH("coréen",B285)),ISNUMBER(SEARCH("indien",B285)),ISNUMBER(SEARCH("persan",B285)),ISNUMBER(SEARCH("iranien",B285))),"Asie","(non classée)"))))</f>
        <v/>
      </c>
    </row>
    <row r="286">
      <c r="A286" s="2" t="inlineStr">
        <is>
          <t>GERRIT VAN HONTHORST</t>
        </is>
      </c>
      <c r="B286" s="2" t="inlineStr">
        <is>
          <t>hollandaise (Pays-Bas)</t>
        </is>
      </c>
      <c r="C286" s="2" t="inlineStr">
        <is>
          <t>peinture</t>
        </is>
      </c>
      <c r="D286" s="2" t="inlineStr">
        <is>
          <t>17e</t>
        </is>
      </c>
      <c r="U286">
        <f>IF(ISNUMBER(SEARCH("fran",B286)),"France",IF(OR(ISNUMBER(SEARCH("italien",B286)),ISNUMBER(SEARCH("espagn",B286)),ISNUMBER(SEARCH("catalan",B286)),ISNUMBER(SEARCH("flamand",B286)),ISNUMBER(SEARCH("belge",B286)),ISNUMBER(SEARCH("hollandais",B286)),ISNUMBER(SEARCH("néerlandais",B286)),ISNUMBER(SEARCH("allemand",B286)),ISNUMBER(SEARCH("autrichien",B286)),ISNUMBER(SEARCH("suisse",B286)),ISNUMBER(SEARCH("anglais",B286)),ISNUMBER(SEARCH("britannique",B286)),ISNUMBER(SEARCH("écossais",B286)),ISNUMBER(SEARCH("irlandais",B286)),ISNUMBER(SEARCH("russe",B286)),ISNUMBER(SEARCH("portugais",B286)),ISNUMBER(SEARCH("danois",B286)),ISNUMBER(SEARCH("norvégien",B286)),ISNUMBER(SEARCH("suédois",B286)),ISNUMBER(SEARCH("finlandais",B286)),ISNUMBER(SEARCH("polonais",B286)),ISNUMBER(SEARCH("tchèque",B286)),ISNUMBER(SEARCH("hongrois",B286)),ISNUMBER(SEARCH("grec",B286)),ISNUMBER(SEARCH("byzantin",B286)),ISNUMBER(SEARCH("croate",B286)),ISNUMBER(SEARCH("ukrainien",B286)),ISNUMBER(SEARCH("bulgare",B286)),ISNUMBER(SEARCH("biélorusse",B286)),ISNUMBER(SEARCH("maltais",B286))),"Autres pays d'Europe",IF(OR(ISNUMBER(SEARCH("américain",B286)),ISNUMBER(SEARCH("mexicain",B286)),ISNUMBER(SEARCH("canadien",B286)),ISNUMBER(SEARCH("brésilien",B286)),ISNUMBER(SEARCH("argentin",B286))),"Amérique",IF(OR(ISNUMBER(SEARCH("chinois",B286)),ISNUMBER(SEARCH("japonais",B286)),ISNUMBER(SEARCH("coréen",B286)),ISNUMBER(SEARCH("indien",B286)),ISNUMBER(SEARCH("persan",B286)),ISNUMBER(SEARCH("iranien",B286))),"Asie","(non classée)"))))</f>
        <v/>
      </c>
    </row>
    <row r="287">
      <c r="A287" s="2" t="inlineStr">
        <is>
          <t>GIACOMO SERPOTTA</t>
        </is>
      </c>
      <c r="B287" s="2" t="inlineStr">
        <is>
          <t>italienne</t>
        </is>
      </c>
      <c r="C287" s="2" t="inlineStr">
        <is>
          <t>sculpture</t>
        </is>
      </c>
      <c r="D287" s="2" t="inlineStr">
        <is>
          <t>18e</t>
        </is>
      </c>
      <c r="U287">
        <f>IF(ISNUMBER(SEARCH("fran",B287)),"France",IF(OR(ISNUMBER(SEARCH("italien",B287)),ISNUMBER(SEARCH("espagn",B287)),ISNUMBER(SEARCH("catalan",B287)),ISNUMBER(SEARCH("flamand",B287)),ISNUMBER(SEARCH("belge",B287)),ISNUMBER(SEARCH("hollandais",B287)),ISNUMBER(SEARCH("néerlandais",B287)),ISNUMBER(SEARCH("allemand",B287)),ISNUMBER(SEARCH("autrichien",B287)),ISNUMBER(SEARCH("suisse",B287)),ISNUMBER(SEARCH("anglais",B287)),ISNUMBER(SEARCH("britannique",B287)),ISNUMBER(SEARCH("écossais",B287)),ISNUMBER(SEARCH("irlandais",B287)),ISNUMBER(SEARCH("russe",B287)),ISNUMBER(SEARCH("portugais",B287)),ISNUMBER(SEARCH("danois",B287)),ISNUMBER(SEARCH("norvégien",B287)),ISNUMBER(SEARCH("suédois",B287)),ISNUMBER(SEARCH("finlandais",B287)),ISNUMBER(SEARCH("polonais",B287)),ISNUMBER(SEARCH("tchèque",B287)),ISNUMBER(SEARCH("hongrois",B287)),ISNUMBER(SEARCH("grec",B287)),ISNUMBER(SEARCH("byzantin",B287)),ISNUMBER(SEARCH("croate",B287)),ISNUMBER(SEARCH("ukrainien",B287)),ISNUMBER(SEARCH("bulgare",B287)),ISNUMBER(SEARCH("biélorusse",B287)),ISNUMBER(SEARCH("maltais",B287))),"Autres pays d'Europe",IF(OR(ISNUMBER(SEARCH("américain",B287)),ISNUMBER(SEARCH("mexicain",B287)),ISNUMBER(SEARCH("canadien",B287)),ISNUMBER(SEARCH("brésilien",B287)),ISNUMBER(SEARCH("argentin",B287))),"Amérique",IF(OR(ISNUMBER(SEARCH("chinois",B287)),ISNUMBER(SEARCH("japonais",B287)),ISNUMBER(SEARCH("coréen",B287)),ISNUMBER(SEARCH("indien",B287)),ISNUMBER(SEARCH("persan",B287)),ISNUMBER(SEARCH("iranien",B287))),"Asie","(non classée)"))))</f>
        <v/>
      </c>
    </row>
    <row r="288">
      <c r="A288" s="2" t="inlineStr">
        <is>
          <t>GIAN LORENZO BERNINI</t>
        </is>
      </c>
      <c r="B288" s="2" t="inlineStr">
        <is>
          <t>italienne</t>
        </is>
      </c>
      <c r="C288" s="2" t="inlineStr">
        <is>
          <t>sculpture</t>
        </is>
      </c>
      <c r="D288" s="2" t="inlineStr">
        <is>
          <t>17e</t>
        </is>
      </c>
      <c r="U288">
        <f>IF(ISNUMBER(SEARCH("fran",B288)),"France",IF(OR(ISNUMBER(SEARCH("italien",B288)),ISNUMBER(SEARCH("espagn",B288)),ISNUMBER(SEARCH("catalan",B288)),ISNUMBER(SEARCH("flamand",B288)),ISNUMBER(SEARCH("belge",B288)),ISNUMBER(SEARCH("hollandais",B288)),ISNUMBER(SEARCH("néerlandais",B288)),ISNUMBER(SEARCH("allemand",B288)),ISNUMBER(SEARCH("autrichien",B288)),ISNUMBER(SEARCH("suisse",B288)),ISNUMBER(SEARCH("anglais",B288)),ISNUMBER(SEARCH("britannique",B288)),ISNUMBER(SEARCH("écossais",B288)),ISNUMBER(SEARCH("irlandais",B288)),ISNUMBER(SEARCH("russe",B288)),ISNUMBER(SEARCH("portugais",B288)),ISNUMBER(SEARCH("danois",B288)),ISNUMBER(SEARCH("norvégien",B288)),ISNUMBER(SEARCH("suédois",B288)),ISNUMBER(SEARCH("finlandais",B288)),ISNUMBER(SEARCH("polonais",B288)),ISNUMBER(SEARCH("tchèque",B288)),ISNUMBER(SEARCH("hongrois",B288)),ISNUMBER(SEARCH("grec",B288)),ISNUMBER(SEARCH("byzantin",B288)),ISNUMBER(SEARCH("croate",B288)),ISNUMBER(SEARCH("ukrainien",B288)),ISNUMBER(SEARCH("bulgare",B288)),ISNUMBER(SEARCH("biélorusse",B288)),ISNUMBER(SEARCH("maltais",B288))),"Autres pays d'Europe",IF(OR(ISNUMBER(SEARCH("américain",B288)),ISNUMBER(SEARCH("mexicain",B288)),ISNUMBER(SEARCH("canadien",B288)),ISNUMBER(SEARCH("brésilien",B288)),ISNUMBER(SEARCH("argentin",B288))),"Amérique",IF(OR(ISNUMBER(SEARCH("chinois",B288)),ISNUMBER(SEARCH("japonais",B288)),ISNUMBER(SEARCH("coréen",B288)),ISNUMBER(SEARCH("indien",B288)),ISNUMBER(SEARCH("persan",B288)),ISNUMBER(SEARCH("iranien",B288))),"Asie","(non classée)"))))</f>
        <v/>
      </c>
    </row>
    <row r="289">
      <c r="A289" s="2" t="inlineStr">
        <is>
          <t>GIAN LORENZO BERNINI</t>
        </is>
      </c>
      <c r="B289" s="2" t="inlineStr">
        <is>
          <t>italienne</t>
        </is>
      </c>
      <c r="C289" s="2" t="inlineStr">
        <is>
          <t>peinture</t>
        </is>
      </c>
      <c r="D289" s="2" t="inlineStr">
        <is>
          <t>17e</t>
        </is>
      </c>
      <c r="U289">
        <f>IF(ISNUMBER(SEARCH("fran",B289)),"France",IF(OR(ISNUMBER(SEARCH("italien",B289)),ISNUMBER(SEARCH("espagn",B289)),ISNUMBER(SEARCH("catalan",B289)),ISNUMBER(SEARCH("flamand",B289)),ISNUMBER(SEARCH("belge",B289)),ISNUMBER(SEARCH("hollandais",B289)),ISNUMBER(SEARCH("néerlandais",B289)),ISNUMBER(SEARCH("allemand",B289)),ISNUMBER(SEARCH("autrichien",B289)),ISNUMBER(SEARCH("suisse",B289)),ISNUMBER(SEARCH("anglais",B289)),ISNUMBER(SEARCH("britannique",B289)),ISNUMBER(SEARCH("écossais",B289)),ISNUMBER(SEARCH("irlandais",B289)),ISNUMBER(SEARCH("russe",B289)),ISNUMBER(SEARCH("portugais",B289)),ISNUMBER(SEARCH("danois",B289)),ISNUMBER(SEARCH("norvégien",B289)),ISNUMBER(SEARCH("suédois",B289)),ISNUMBER(SEARCH("finlandais",B289)),ISNUMBER(SEARCH("polonais",B289)),ISNUMBER(SEARCH("tchèque",B289)),ISNUMBER(SEARCH("hongrois",B289)),ISNUMBER(SEARCH("grec",B289)),ISNUMBER(SEARCH("byzantin",B289)),ISNUMBER(SEARCH("croate",B289)),ISNUMBER(SEARCH("ukrainien",B289)),ISNUMBER(SEARCH("bulgare",B289)),ISNUMBER(SEARCH("biélorusse",B289)),ISNUMBER(SEARCH("maltais",B289))),"Autres pays d'Europe",IF(OR(ISNUMBER(SEARCH("américain",B289)),ISNUMBER(SEARCH("mexicain",B289)),ISNUMBER(SEARCH("canadien",B289)),ISNUMBER(SEARCH("brésilien",B289)),ISNUMBER(SEARCH("argentin",B289))),"Amérique",IF(OR(ISNUMBER(SEARCH("chinois",B289)),ISNUMBER(SEARCH("japonais",B289)),ISNUMBER(SEARCH("coréen",B289)),ISNUMBER(SEARCH("indien",B289)),ISNUMBER(SEARCH("persan",B289)),ISNUMBER(SEARCH("iranien",B289))),"Asie","(non classée)"))))</f>
        <v/>
      </c>
    </row>
    <row r="290">
      <c r="A290" s="2" t="inlineStr">
        <is>
          <t>GIL DE SILOÉ</t>
        </is>
      </c>
      <c r="B290" s="2" t="inlineStr">
        <is>
          <t>espagnole</t>
        </is>
      </c>
      <c r="C290" s="2" t="inlineStr">
        <is>
          <t>sculpture</t>
        </is>
      </c>
      <c r="D290" s="2" t="inlineStr">
        <is>
          <t>15e</t>
        </is>
      </c>
      <c r="U290">
        <f>IF(ISNUMBER(SEARCH("fran",B290)),"France",IF(OR(ISNUMBER(SEARCH("italien",B290)),ISNUMBER(SEARCH("espagn",B290)),ISNUMBER(SEARCH("catalan",B290)),ISNUMBER(SEARCH("flamand",B290)),ISNUMBER(SEARCH("belge",B290)),ISNUMBER(SEARCH("hollandais",B290)),ISNUMBER(SEARCH("néerlandais",B290)),ISNUMBER(SEARCH("allemand",B290)),ISNUMBER(SEARCH("autrichien",B290)),ISNUMBER(SEARCH("suisse",B290)),ISNUMBER(SEARCH("anglais",B290)),ISNUMBER(SEARCH("britannique",B290)),ISNUMBER(SEARCH("écossais",B290)),ISNUMBER(SEARCH("irlandais",B290)),ISNUMBER(SEARCH("russe",B290)),ISNUMBER(SEARCH("portugais",B290)),ISNUMBER(SEARCH("danois",B290)),ISNUMBER(SEARCH("norvégien",B290)),ISNUMBER(SEARCH("suédois",B290)),ISNUMBER(SEARCH("finlandais",B290)),ISNUMBER(SEARCH("polonais",B290)),ISNUMBER(SEARCH("tchèque",B290)),ISNUMBER(SEARCH("hongrois",B290)),ISNUMBER(SEARCH("grec",B290)),ISNUMBER(SEARCH("byzantin",B290)),ISNUMBER(SEARCH("croate",B290)),ISNUMBER(SEARCH("ukrainien",B290)),ISNUMBER(SEARCH("bulgare",B290)),ISNUMBER(SEARCH("biélorusse",B290)),ISNUMBER(SEARCH("maltais",B290))),"Autres pays d'Europe",IF(OR(ISNUMBER(SEARCH("américain",B290)),ISNUMBER(SEARCH("mexicain",B290)),ISNUMBER(SEARCH("canadien",B290)),ISNUMBER(SEARCH("brésilien",B290)),ISNUMBER(SEARCH("argentin",B290))),"Amérique",IF(OR(ISNUMBER(SEARCH("chinois",B290)),ISNUMBER(SEARCH("japonais",B290)),ISNUMBER(SEARCH("coréen",B290)),ISNUMBER(SEARCH("indien",B290)),ISNUMBER(SEARCH("persan",B290)),ISNUMBER(SEARCH("iranien",B290))),"Asie","(non classée)"))))</f>
        <v/>
      </c>
    </row>
    <row r="291">
      <c r="A291" s="2" t="inlineStr">
        <is>
          <t>GILBERT STUART</t>
        </is>
      </c>
      <c r="B291" s="2" t="inlineStr">
        <is>
          <t>américaine</t>
        </is>
      </c>
      <c r="C291" s="2" t="inlineStr">
        <is>
          <t>peinture</t>
        </is>
      </c>
      <c r="D291" s="2" t="inlineStr">
        <is>
          <t>18e</t>
        </is>
      </c>
      <c r="U291">
        <f>IF(ISNUMBER(SEARCH("fran",B291)),"France",IF(OR(ISNUMBER(SEARCH("italien",B291)),ISNUMBER(SEARCH("espagn",B291)),ISNUMBER(SEARCH("catalan",B291)),ISNUMBER(SEARCH("flamand",B291)),ISNUMBER(SEARCH("belge",B291)),ISNUMBER(SEARCH("hollandais",B291)),ISNUMBER(SEARCH("néerlandais",B291)),ISNUMBER(SEARCH("allemand",B291)),ISNUMBER(SEARCH("autrichien",B291)),ISNUMBER(SEARCH("suisse",B291)),ISNUMBER(SEARCH("anglais",B291)),ISNUMBER(SEARCH("britannique",B291)),ISNUMBER(SEARCH("écossais",B291)),ISNUMBER(SEARCH("irlandais",B291)),ISNUMBER(SEARCH("russe",B291)),ISNUMBER(SEARCH("portugais",B291)),ISNUMBER(SEARCH("danois",B291)),ISNUMBER(SEARCH("norvégien",B291)),ISNUMBER(SEARCH("suédois",B291)),ISNUMBER(SEARCH("finlandais",B291)),ISNUMBER(SEARCH("polonais",B291)),ISNUMBER(SEARCH("tchèque",B291)),ISNUMBER(SEARCH("hongrois",B291)),ISNUMBER(SEARCH("grec",B291)),ISNUMBER(SEARCH("byzantin",B291)),ISNUMBER(SEARCH("croate",B291)),ISNUMBER(SEARCH("ukrainien",B291)),ISNUMBER(SEARCH("bulgare",B291)),ISNUMBER(SEARCH("biélorusse",B291)),ISNUMBER(SEARCH("maltais",B291))),"Autres pays d'Europe",IF(OR(ISNUMBER(SEARCH("américain",B291)),ISNUMBER(SEARCH("mexicain",B291)),ISNUMBER(SEARCH("canadien",B291)),ISNUMBER(SEARCH("brésilien",B291)),ISNUMBER(SEARCH("argentin",B291))),"Amérique",IF(OR(ISNUMBER(SEARCH("chinois",B291)),ISNUMBER(SEARCH("japonais",B291)),ISNUMBER(SEARCH("coréen",B291)),ISNUMBER(SEARCH("indien",B291)),ISNUMBER(SEARCH("persan",B291)),ISNUMBER(SEARCH("iranien",B291))),"Asie","(non classée)"))))</f>
        <v/>
      </c>
    </row>
    <row r="292">
      <c r="A292" s="2" t="inlineStr">
        <is>
          <t>GILLIS VAN CONINXLOO</t>
        </is>
      </c>
      <c r="B292" s="2" t="inlineStr">
        <is>
          <t>hollandaise (Pays-Bas)</t>
        </is>
      </c>
      <c r="C292" s="2" t="inlineStr">
        <is>
          <t>peinture</t>
        </is>
      </c>
      <c r="D292" s="2" t="inlineStr">
        <is>
          <t>16e</t>
        </is>
      </c>
      <c r="U292">
        <f>IF(ISNUMBER(SEARCH("fran",B292)),"France",IF(OR(ISNUMBER(SEARCH("italien",B292)),ISNUMBER(SEARCH("espagn",B292)),ISNUMBER(SEARCH("catalan",B292)),ISNUMBER(SEARCH("flamand",B292)),ISNUMBER(SEARCH("belge",B292)),ISNUMBER(SEARCH("hollandais",B292)),ISNUMBER(SEARCH("néerlandais",B292)),ISNUMBER(SEARCH("allemand",B292)),ISNUMBER(SEARCH("autrichien",B292)),ISNUMBER(SEARCH("suisse",B292)),ISNUMBER(SEARCH("anglais",B292)),ISNUMBER(SEARCH("britannique",B292)),ISNUMBER(SEARCH("écossais",B292)),ISNUMBER(SEARCH("irlandais",B292)),ISNUMBER(SEARCH("russe",B292)),ISNUMBER(SEARCH("portugais",B292)),ISNUMBER(SEARCH("danois",B292)),ISNUMBER(SEARCH("norvégien",B292)),ISNUMBER(SEARCH("suédois",B292)),ISNUMBER(SEARCH("finlandais",B292)),ISNUMBER(SEARCH("polonais",B292)),ISNUMBER(SEARCH("tchèque",B292)),ISNUMBER(SEARCH("hongrois",B292)),ISNUMBER(SEARCH("grec",B292)),ISNUMBER(SEARCH("byzantin",B292)),ISNUMBER(SEARCH("croate",B292)),ISNUMBER(SEARCH("ukrainien",B292)),ISNUMBER(SEARCH("bulgare",B292)),ISNUMBER(SEARCH("biélorusse",B292)),ISNUMBER(SEARCH("maltais",B292))),"Autres pays d'Europe",IF(OR(ISNUMBER(SEARCH("américain",B292)),ISNUMBER(SEARCH("mexicain",B292)),ISNUMBER(SEARCH("canadien",B292)),ISNUMBER(SEARCH("brésilien",B292)),ISNUMBER(SEARCH("argentin",B292))),"Amérique",IF(OR(ISNUMBER(SEARCH("chinois",B292)),ISNUMBER(SEARCH("japonais",B292)),ISNUMBER(SEARCH("coréen",B292)),ISNUMBER(SEARCH("indien",B292)),ISNUMBER(SEARCH("persan",B292)),ISNUMBER(SEARCH("iranien",B292))),"Asie","(non classée)"))))</f>
        <v/>
      </c>
    </row>
    <row r="293">
      <c r="A293" s="2" t="inlineStr">
        <is>
          <t>GIOTTO DI BONDONE</t>
        </is>
      </c>
      <c r="B293" s="2" t="inlineStr">
        <is>
          <t>italienne</t>
        </is>
      </c>
      <c r="C293" s="2" t="inlineStr">
        <is>
          <t>peinture</t>
        </is>
      </c>
      <c r="D293" s="2" t="inlineStr">
        <is>
          <t>14e</t>
        </is>
      </c>
      <c r="U293">
        <f>IF(ISNUMBER(SEARCH("fran",B293)),"France",IF(OR(ISNUMBER(SEARCH("italien",B293)),ISNUMBER(SEARCH("espagn",B293)),ISNUMBER(SEARCH("catalan",B293)),ISNUMBER(SEARCH("flamand",B293)),ISNUMBER(SEARCH("belge",B293)),ISNUMBER(SEARCH("hollandais",B293)),ISNUMBER(SEARCH("néerlandais",B293)),ISNUMBER(SEARCH("allemand",B293)),ISNUMBER(SEARCH("autrichien",B293)),ISNUMBER(SEARCH("suisse",B293)),ISNUMBER(SEARCH("anglais",B293)),ISNUMBER(SEARCH("britannique",B293)),ISNUMBER(SEARCH("écossais",B293)),ISNUMBER(SEARCH("irlandais",B293)),ISNUMBER(SEARCH("russe",B293)),ISNUMBER(SEARCH("portugais",B293)),ISNUMBER(SEARCH("danois",B293)),ISNUMBER(SEARCH("norvégien",B293)),ISNUMBER(SEARCH("suédois",B293)),ISNUMBER(SEARCH("finlandais",B293)),ISNUMBER(SEARCH("polonais",B293)),ISNUMBER(SEARCH("tchèque",B293)),ISNUMBER(SEARCH("hongrois",B293)),ISNUMBER(SEARCH("grec",B293)),ISNUMBER(SEARCH("byzantin",B293)),ISNUMBER(SEARCH("croate",B293)),ISNUMBER(SEARCH("ukrainien",B293)),ISNUMBER(SEARCH("bulgare",B293)),ISNUMBER(SEARCH("biélorusse",B293)),ISNUMBER(SEARCH("maltais",B293))),"Autres pays d'Europe",IF(OR(ISNUMBER(SEARCH("américain",B293)),ISNUMBER(SEARCH("mexicain",B293)),ISNUMBER(SEARCH("canadien",B293)),ISNUMBER(SEARCH("brésilien",B293)),ISNUMBER(SEARCH("argentin",B293))),"Amérique",IF(OR(ISNUMBER(SEARCH("chinois",B293)),ISNUMBER(SEARCH("japonais",B293)),ISNUMBER(SEARCH("coréen",B293)),ISNUMBER(SEARCH("indien",B293)),ISNUMBER(SEARCH("persan",B293)),ISNUMBER(SEARCH("iranien",B293))),"Asie","(non classée)"))))</f>
        <v/>
      </c>
    </row>
    <row r="294">
      <c r="A294" s="2" t="inlineStr">
        <is>
          <t>GIOVANNI BANDINI</t>
        </is>
      </c>
      <c r="B294" s="2" t="inlineStr">
        <is>
          <t>italienne</t>
        </is>
      </c>
      <c r="C294" s="2" t="inlineStr">
        <is>
          <t>sculpture</t>
        </is>
      </c>
      <c r="D294" s="2" t="inlineStr">
        <is>
          <t>16e</t>
        </is>
      </c>
      <c r="U294">
        <f>IF(ISNUMBER(SEARCH("fran",B294)),"France",IF(OR(ISNUMBER(SEARCH("italien",B294)),ISNUMBER(SEARCH("espagn",B294)),ISNUMBER(SEARCH("catalan",B294)),ISNUMBER(SEARCH("flamand",B294)),ISNUMBER(SEARCH("belge",B294)),ISNUMBER(SEARCH("hollandais",B294)),ISNUMBER(SEARCH("néerlandais",B294)),ISNUMBER(SEARCH("allemand",B294)),ISNUMBER(SEARCH("autrichien",B294)),ISNUMBER(SEARCH("suisse",B294)),ISNUMBER(SEARCH("anglais",B294)),ISNUMBER(SEARCH("britannique",B294)),ISNUMBER(SEARCH("écossais",B294)),ISNUMBER(SEARCH("irlandais",B294)),ISNUMBER(SEARCH("russe",B294)),ISNUMBER(SEARCH("portugais",B294)),ISNUMBER(SEARCH("danois",B294)),ISNUMBER(SEARCH("norvégien",B294)),ISNUMBER(SEARCH("suédois",B294)),ISNUMBER(SEARCH("finlandais",B294)),ISNUMBER(SEARCH("polonais",B294)),ISNUMBER(SEARCH("tchèque",B294)),ISNUMBER(SEARCH("hongrois",B294)),ISNUMBER(SEARCH("grec",B294)),ISNUMBER(SEARCH("byzantin",B294)),ISNUMBER(SEARCH("croate",B294)),ISNUMBER(SEARCH("ukrainien",B294)),ISNUMBER(SEARCH("bulgare",B294)),ISNUMBER(SEARCH("biélorusse",B294)),ISNUMBER(SEARCH("maltais",B294))),"Autres pays d'Europe",IF(OR(ISNUMBER(SEARCH("américain",B294)),ISNUMBER(SEARCH("mexicain",B294)),ISNUMBER(SEARCH("canadien",B294)),ISNUMBER(SEARCH("brésilien",B294)),ISNUMBER(SEARCH("argentin",B294))),"Amérique",IF(OR(ISNUMBER(SEARCH("chinois",B294)),ISNUMBER(SEARCH("japonais",B294)),ISNUMBER(SEARCH("coréen",B294)),ISNUMBER(SEARCH("indien",B294)),ISNUMBER(SEARCH("persan",B294)),ISNUMBER(SEARCH("iranien",B294))),"Asie","(non classée)"))))</f>
        <v/>
      </c>
    </row>
    <row r="295">
      <c r="A295" s="2" t="inlineStr">
        <is>
          <t>GIOVANNI BELLINI</t>
        </is>
      </c>
      <c r="B295" s="2" t="inlineStr">
        <is>
          <t>italienne</t>
        </is>
      </c>
      <c r="C295" s="2" t="inlineStr">
        <is>
          <t>peinture</t>
        </is>
      </c>
      <c r="D295" s="2" t="inlineStr">
        <is>
          <t>15e</t>
        </is>
      </c>
      <c r="U295">
        <f>IF(ISNUMBER(SEARCH("fran",B295)),"France",IF(OR(ISNUMBER(SEARCH("italien",B295)),ISNUMBER(SEARCH("espagn",B295)),ISNUMBER(SEARCH("catalan",B295)),ISNUMBER(SEARCH("flamand",B295)),ISNUMBER(SEARCH("belge",B295)),ISNUMBER(SEARCH("hollandais",B295)),ISNUMBER(SEARCH("néerlandais",B295)),ISNUMBER(SEARCH("allemand",B295)),ISNUMBER(SEARCH("autrichien",B295)),ISNUMBER(SEARCH("suisse",B295)),ISNUMBER(SEARCH("anglais",B295)),ISNUMBER(SEARCH("britannique",B295)),ISNUMBER(SEARCH("écossais",B295)),ISNUMBER(SEARCH("irlandais",B295)),ISNUMBER(SEARCH("russe",B295)),ISNUMBER(SEARCH("portugais",B295)),ISNUMBER(SEARCH("danois",B295)),ISNUMBER(SEARCH("norvégien",B295)),ISNUMBER(SEARCH("suédois",B295)),ISNUMBER(SEARCH("finlandais",B295)),ISNUMBER(SEARCH("polonais",B295)),ISNUMBER(SEARCH("tchèque",B295)),ISNUMBER(SEARCH("hongrois",B295)),ISNUMBER(SEARCH("grec",B295)),ISNUMBER(SEARCH("byzantin",B295)),ISNUMBER(SEARCH("croate",B295)),ISNUMBER(SEARCH("ukrainien",B295)),ISNUMBER(SEARCH("bulgare",B295)),ISNUMBER(SEARCH("biélorusse",B295)),ISNUMBER(SEARCH("maltais",B295))),"Autres pays d'Europe",IF(OR(ISNUMBER(SEARCH("américain",B295)),ISNUMBER(SEARCH("mexicain",B295)),ISNUMBER(SEARCH("canadien",B295)),ISNUMBER(SEARCH("brésilien",B295)),ISNUMBER(SEARCH("argentin",B295))),"Amérique",IF(OR(ISNUMBER(SEARCH("chinois",B295)),ISNUMBER(SEARCH("japonais",B295)),ISNUMBER(SEARCH("coréen",B295)),ISNUMBER(SEARCH("indien",B295)),ISNUMBER(SEARCH("persan",B295)),ISNUMBER(SEARCH("iranien",B295))),"Asie","(non classée)"))))</f>
        <v/>
      </c>
    </row>
    <row r="296">
      <c r="A296" s="2" t="inlineStr">
        <is>
          <t>GIOVANNI BAPTISTA MORONI</t>
        </is>
      </c>
      <c r="B296" s="2" t="inlineStr">
        <is>
          <t>italienne</t>
        </is>
      </c>
      <c r="C296" s="2" t="inlineStr">
        <is>
          <t>peinture</t>
        </is>
      </c>
      <c r="D296" s="2" t="inlineStr">
        <is>
          <t>16e</t>
        </is>
      </c>
      <c r="U296">
        <f>IF(ISNUMBER(SEARCH("fran",B296)),"France",IF(OR(ISNUMBER(SEARCH("italien",B296)),ISNUMBER(SEARCH("espagn",B296)),ISNUMBER(SEARCH("catalan",B296)),ISNUMBER(SEARCH("flamand",B296)),ISNUMBER(SEARCH("belge",B296)),ISNUMBER(SEARCH("hollandais",B296)),ISNUMBER(SEARCH("néerlandais",B296)),ISNUMBER(SEARCH("allemand",B296)),ISNUMBER(SEARCH("autrichien",B296)),ISNUMBER(SEARCH("suisse",B296)),ISNUMBER(SEARCH("anglais",B296)),ISNUMBER(SEARCH("britannique",B296)),ISNUMBER(SEARCH("écossais",B296)),ISNUMBER(SEARCH("irlandais",B296)),ISNUMBER(SEARCH("russe",B296)),ISNUMBER(SEARCH("portugais",B296)),ISNUMBER(SEARCH("danois",B296)),ISNUMBER(SEARCH("norvégien",B296)),ISNUMBER(SEARCH("suédois",B296)),ISNUMBER(SEARCH("finlandais",B296)),ISNUMBER(SEARCH("polonais",B296)),ISNUMBER(SEARCH("tchèque",B296)),ISNUMBER(SEARCH("hongrois",B296)),ISNUMBER(SEARCH("grec",B296)),ISNUMBER(SEARCH("byzantin",B296)),ISNUMBER(SEARCH("croate",B296)),ISNUMBER(SEARCH("ukrainien",B296)),ISNUMBER(SEARCH("bulgare",B296)),ISNUMBER(SEARCH("biélorusse",B296)),ISNUMBER(SEARCH("maltais",B296))),"Autres pays d'Europe",IF(OR(ISNUMBER(SEARCH("américain",B296)),ISNUMBER(SEARCH("mexicain",B296)),ISNUMBER(SEARCH("canadien",B296)),ISNUMBER(SEARCH("brésilien",B296)),ISNUMBER(SEARCH("argentin",B296))),"Amérique",IF(OR(ISNUMBER(SEARCH("chinois",B296)),ISNUMBER(SEARCH("japonais",B296)),ISNUMBER(SEARCH("coréen",B296)),ISNUMBER(SEARCH("indien",B296)),ISNUMBER(SEARCH("persan",B296)),ISNUMBER(SEARCH("iranien",B296))),"Asie","(non classée)"))))</f>
        <v/>
      </c>
    </row>
    <row r="297">
      <c r="A297" s="2" t="inlineStr">
        <is>
          <t>GIOVANNI BATTISTA DELLA PORTA</t>
        </is>
      </c>
      <c r="B297" s="2" t="inlineStr">
        <is>
          <t>italienne</t>
        </is>
      </c>
      <c r="C297" s="2" t="inlineStr">
        <is>
          <t>sculpture</t>
        </is>
      </c>
      <c r="D297" s="2" t="inlineStr">
        <is>
          <t>16e</t>
        </is>
      </c>
      <c r="U297">
        <f>IF(ISNUMBER(SEARCH("fran",B297)),"France",IF(OR(ISNUMBER(SEARCH("italien",B297)),ISNUMBER(SEARCH("espagn",B297)),ISNUMBER(SEARCH("catalan",B297)),ISNUMBER(SEARCH("flamand",B297)),ISNUMBER(SEARCH("belge",B297)),ISNUMBER(SEARCH("hollandais",B297)),ISNUMBER(SEARCH("néerlandais",B297)),ISNUMBER(SEARCH("allemand",B297)),ISNUMBER(SEARCH("autrichien",B297)),ISNUMBER(SEARCH("suisse",B297)),ISNUMBER(SEARCH("anglais",B297)),ISNUMBER(SEARCH("britannique",B297)),ISNUMBER(SEARCH("écossais",B297)),ISNUMBER(SEARCH("irlandais",B297)),ISNUMBER(SEARCH("russe",B297)),ISNUMBER(SEARCH("portugais",B297)),ISNUMBER(SEARCH("danois",B297)),ISNUMBER(SEARCH("norvégien",B297)),ISNUMBER(SEARCH("suédois",B297)),ISNUMBER(SEARCH("finlandais",B297)),ISNUMBER(SEARCH("polonais",B297)),ISNUMBER(SEARCH("tchèque",B297)),ISNUMBER(SEARCH("hongrois",B297)),ISNUMBER(SEARCH("grec",B297)),ISNUMBER(SEARCH("byzantin",B297)),ISNUMBER(SEARCH("croate",B297)),ISNUMBER(SEARCH("ukrainien",B297)),ISNUMBER(SEARCH("bulgare",B297)),ISNUMBER(SEARCH("biélorusse",B297)),ISNUMBER(SEARCH("maltais",B297))),"Autres pays d'Europe",IF(OR(ISNUMBER(SEARCH("américain",B297)),ISNUMBER(SEARCH("mexicain",B297)),ISNUMBER(SEARCH("canadien",B297)),ISNUMBER(SEARCH("brésilien",B297)),ISNUMBER(SEARCH("argentin",B297))),"Amérique",IF(OR(ISNUMBER(SEARCH("chinois",B297)),ISNUMBER(SEARCH("japonais",B297)),ISNUMBER(SEARCH("coréen",B297)),ISNUMBER(SEARCH("indien",B297)),ISNUMBER(SEARCH("persan",B297)),ISNUMBER(SEARCH("iranien",B297))),"Asie","(non classée)"))))</f>
        <v/>
      </c>
    </row>
    <row r="298">
      <c r="A298" s="2" t="inlineStr">
        <is>
          <t>GIOVANNI BATTISTA FOGGINI</t>
        </is>
      </c>
      <c r="B298" s="2" t="inlineStr">
        <is>
          <t>italienne</t>
        </is>
      </c>
      <c r="C298" s="2" t="inlineStr">
        <is>
          <t>sculpture</t>
        </is>
      </c>
      <c r="D298" s="2" t="inlineStr">
        <is>
          <t>18e</t>
        </is>
      </c>
      <c r="U298">
        <f>IF(ISNUMBER(SEARCH("fran",B298)),"France",IF(OR(ISNUMBER(SEARCH("italien",B298)),ISNUMBER(SEARCH("espagn",B298)),ISNUMBER(SEARCH("catalan",B298)),ISNUMBER(SEARCH("flamand",B298)),ISNUMBER(SEARCH("belge",B298)),ISNUMBER(SEARCH("hollandais",B298)),ISNUMBER(SEARCH("néerlandais",B298)),ISNUMBER(SEARCH("allemand",B298)),ISNUMBER(SEARCH("autrichien",B298)),ISNUMBER(SEARCH("suisse",B298)),ISNUMBER(SEARCH("anglais",B298)),ISNUMBER(SEARCH("britannique",B298)),ISNUMBER(SEARCH("écossais",B298)),ISNUMBER(SEARCH("irlandais",B298)),ISNUMBER(SEARCH("russe",B298)),ISNUMBER(SEARCH("portugais",B298)),ISNUMBER(SEARCH("danois",B298)),ISNUMBER(SEARCH("norvégien",B298)),ISNUMBER(SEARCH("suédois",B298)),ISNUMBER(SEARCH("finlandais",B298)),ISNUMBER(SEARCH("polonais",B298)),ISNUMBER(SEARCH("tchèque",B298)),ISNUMBER(SEARCH("hongrois",B298)),ISNUMBER(SEARCH("grec",B298)),ISNUMBER(SEARCH("byzantin",B298)),ISNUMBER(SEARCH("croate",B298)),ISNUMBER(SEARCH("ukrainien",B298)),ISNUMBER(SEARCH("bulgare",B298)),ISNUMBER(SEARCH("biélorusse",B298)),ISNUMBER(SEARCH("maltais",B298))),"Autres pays d'Europe",IF(OR(ISNUMBER(SEARCH("américain",B298)),ISNUMBER(SEARCH("mexicain",B298)),ISNUMBER(SEARCH("canadien",B298)),ISNUMBER(SEARCH("brésilien",B298)),ISNUMBER(SEARCH("argentin",B298))),"Amérique",IF(OR(ISNUMBER(SEARCH("chinois",B298)),ISNUMBER(SEARCH("japonais",B298)),ISNUMBER(SEARCH("coréen",B298)),ISNUMBER(SEARCH("indien",B298)),ISNUMBER(SEARCH("persan",B298)),ISNUMBER(SEARCH("iranien",B298))),"Asie","(non classée)"))))</f>
        <v/>
      </c>
    </row>
    <row r="299">
      <c r="A299" s="2" t="inlineStr">
        <is>
          <t>GIOVANNI BATTISTA MAINI</t>
        </is>
      </c>
      <c r="B299" s="2" t="inlineStr">
        <is>
          <t>italienne</t>
        </is>
      </c>
      <c r="C299" s="2" t="inlineStr">
        <is>
          <t>sculpture</t>
        </is>
      </c>
      <c r="D299" s="2" t="inlineStr">
        <is>
          <t>18e</t>
        </is>
      </c>
      <c r="U299">
        <f>IF(ISNUMBER(SEARCH("fran",B299)),"France",IF(OR(ISNUMBER(SEARCH("italien",B299)),ISNUMBER(SEARCH("espagn",B299)),ISNUMBER(SEARCH("catalan",B299)),ISNUMBER(SEARCH("flamand",B299)),ISNUMBER(SEARCH("belge",B299)),ISNUMBER(SEARCH("hollandais",B299)),ISNUMBER(SEARCH("néerlandais",B299)),ISNUMBER(SEARCH("allemand",B299)),ISNUMBER(SEARCH("autrichien",B299)),ISNUMBER(SEARCH("suisse",B299)),ISNUMBER(SEARCH("anglais",B299)),ISNUMBER(SEARCH("britannique",B299)),ISNUMBER(SEARCH("écossais",B299)),ISNUMBER(SEARCH("irlandais",B299)),ISNUMBER(SEARCH("russe",B299)),ISNUMBER(SEARCH("portugais",B299)),ISNUMBER(SEARCH("danois",B299)),ISNUMBER(SEARCH("norvégien",B299)),ISNUMBER(SEARCH("suédois",B299)),ISNUMBER(SEARCH("finlandais",B299)),ISNUMBER(SEARCH("polonais",B299)),ISNUMBER(SEARCH("tchèque",B299)),ISNUMBER(SEARCH("hongrois",B299)),ISNUMBER(SEARCH("grec",B299)),ISNUMBER(SEARCH("byzantin",B299)),ISNUMBER(SEARCH("croate",B299)),ISNUMBER(SEARCH("ukrainien",B299)),ISNUMBER(SEARCH("bulgare",B299)),ISNUMBER(SEARCH("biélorusse",B299)),ISNUMBER(SEARCH("maltais",B299))),"Autres pays d'Europe",IF(OR(ISNUMBER(SEARCH("américain",B299)),ISNUMBER(SEARCH("mexicain",B299)),ISNUMBER(SEARCH("canadien",B299)),ISNUMBER(SEARCH("brésilien",B299)),ISNUMBER(SEARCH("argentin",B299))),"Amérique",IF(OR(ISNUMBER(SEARCH("chinois",B299)),ISNUMBER(SEARCH("japonais",B299)),ISNUMBER(SEARCH("coréen",B299)),ISNUMBER(SEARCH("indien",B299)),ISNUMBER(SEARCH("persan",B299)),ISNUMBER(SEARCH("iranien",B299))),"Asie","(non classée)"))))</f>
        <v/>
      </c>
    </row>
    <row r="300">
      <c r="A300" s="2" t="inlineStr">
        <is>
          <t>GIOVANNI BATTISTA MORLAITER</t>
        </is>
      </c>
      <c r="B300" s="2" t="inlineStr">
        <is>
          <t>italienne</t>
        </is>
      </c>
      <c r="C300" s="2" t="inlineStr">
        <is>
          <t>sculpture</t>
        </is>
      </c>
      <c r="D300" s="2" t="inlineStr">
        <is>
          <t>18e</t>
        </is>
      </c>
      <c r="U300">
        <f>IF(ISNUMBER(SEARCH("fran",B300)),"France",IF(OR(ISNUMBER(SEARCH("italien",B300)),ISNUMBER(SEARCH("espagn",B300)),ISNUMBER(SEARCH("catalan",B300)),ISNUMBER(SEARCH("flamand",B300)),ISNUMBER(SEARCH("belge",B300)),ISNUMBER(SEARCH("hollandais",B300)),ISNUMBER(SEARCH("néerlandais",B300)),ISNUMBER(SEARCH("allemand",B300)),ISNUMBER(SEARCH("autrichien",B300)),ISNUMBER(SEARCH("suisse",B300)),ISNUMBER(SEARCH("anglais",B300)),ISNUMBER(SEARCH("britannique",B300)),ISNUMBER(SEARCH("écossais",B300)),ISNUMBER(SEARCH("irlandais",B300)),ISNUMBER(SEARCH("russe",B300)),ISNUMBER(SEARCH("portugais",B300)),ISNUMBER(SEARCH("danois",B300)),ISNUMBER(SEARCH("norvégien",B300)),ISNUMBER(SEARCH("suédois",B300)),ISNUMBER(SEARCH("finlandais",B300)),ISNUMBER(SEARCH("polonais",B300)),ISNUMBER(SEARCH("tchèque",B300)),ISNUMBER(SEARCH("hongrois",B300)),ISNUMBER(SEARCH("grec",B300)),ISNUMBER(SEARCH("byzantin",B300)),ISNUMBER(SEARCH("croate",B300)),ISNUMBER(SEARCH("ukrainien",B300)),ISNUMBER(SEARCH("bulgare",B300)),ISNUMBER(SEARCH("biélorusse",B300)),ISNUMBER(SEARCH("maltais",B300))),"Autres pays d'Europe",IF(OR(ISNUMBER(SEARCH("américain",B300)),ISNUMBER(SEARCH("mexicain",B300)),ISNUMBER(SEARCH("canadien",B300)),ISNUMBER(SEARCH("brésilien",B300)),ISNUMBER(SEARCH("argentin",B300))),"Amérique",IF(OR(ISNUMBER(SEARCH("chinois",B300)),ISNUMBER(SEARCH("japonais",B300)),ISNUMBER(SEARCH("coréen",B300)),ISNUMBER(SEARCH("indien",B300)),ISNUMBER(SEARCH("persan",B300)),ISNUMBER(SEARCH("iranien",B300))),"Asie","(non classée)"))))</f>
        <v/>
      </c>
    </row>
    <row r="301">
      <c r="A301" s="2" t="inlineStr">
        <is>
          <t>GIOVANNI BATTISTA TIEPOLO</t>
        </is>
      </c>
      <c r="B301" s="2" t="inlineStr">
        <is>
          <t>italienne</t>
        </is>
      </c>
      <c r="C301" s="2" t="inlineStr">
        <is>
          <t>peinture</t>
        </is>
      </c>
      <c r="D301" s="2" t="inlineStr">
        <is>
          <t>18e</t>
        </is>
      </c>
      <c r="U301">
        <f>IF(ISNUMBER(SEARCH("fran",B301)),"France",IF(OR(ISNUMBER(SEARCH("italien",B301)),ISNUMBER(SEARCH("espagn",B301)),ISNUMBER(SEARCH("catalan",B301)),ISNUMBER(SEARCH("flamand",B301)),ISNUMBER(SEARCH("belge",B301)),ISNUMBER(SEARCH("hollandais",B301)),ISNUMBER(SEARCH("néerlandais",B301)),ISNUMBER(SEARCH("allemand",B301)),ISNUMBER(SEARCH("autrichien",B301)),ISNUMBER(SEARCH("suisse",B301)),ISNUMBER(SEARCH("anglais",B301)),ISNUMBER(SEARCH("britannique",B301)),ISNUMBER(SEARCH("écossais",B301)),ISNUMBER(SEARCH("irlandais",B301)),ISNUMBER(SEARCH("russe",B301)),ISNUMBER(SEARCH("portugais",B301)),ISNUMBER(SEARCH("danois",B301)),ISNUMBER(SEARCH("norvégien",B301)),ISNUMBER(SEARCH("suédois",B301)),ISNUMBER(SEARCH("finlandais",B301)),ISNUMBER(SEARCH("polonais",B301)),ISNUMBER(SEARCH("tchèque",B301)),ISNUMBER(SEARCH("hongrois",B301)),ISNUMBER(SEARCH("grec",B301)),ISNUMBER(SEARCH("byzantin",B301)),ISNUMBER(SEARCH("croate",B301)),ISNUMBER(SEARCH("ukrainien",B301)),ISNUMBER(SEARCH("bulgare",B301)),ISNUMBER(SEARCH("biélorusse",B301)),ISNUMBER(SEARCH("maltais",B301))),"Autres pays d'Europe",IF(OR(ISNUMBER(SEARCH("américain",B301)),ISNUMBER(SEARCH("mexicain",B301)),ISNUMBER(SEARCH("canadien",B301)),ISNUMBER(SEARCH("brésilien",B301)),ISNUMBER(SEARCH("argentin",B301))),"Amérique",IF(OR(ISNUMBER(SEARCH("chinois",B301)),ISNUMBER(SEARCH("japonais",B301)),ISNUMBER(SEARCH("coréen",B301)),ISNUMBER(SEARCH("indien",B301)),ISNUMBER(SEARCH("persan",B301)),ISNUMBER(SEARCH("iranien",B301))),"Asie","(non classée)"))))</f>
        <v/>
      </c>
    </row>
    <row r="302">
      <c r="A302" s="2" t="inlineStr">
        <is>
          <t>GIOVANNI BELLINI</t>
        </is>
      </c>
      <c r="B302" s="2" t="inlineStr">
        <is>
          <t>italienne</t>
        </is>
      </c>
      <c r="C302" s="2" t="inlineStr">
        <is>
          <t>peinture</t>
        </is>
      </c>
      <c r="D302" s="2" t="inlineStr">
        <is>
          <t>16e</t>
        </is>
      </c>
      <c r="U302">
        <f>IF(ISNUMBER(SEARCH("fran",B302)),"France",IF(OR(ISNUMBER(SEARCH("italien",B302)),ISNUMBER(SEARCH("espagn",B302)),ISNUMBER(SEARCH("catalan",B302)),ISNUMBER(SEARCH("flamand",B302)),ISNUMBER(SEARCH("belge",B302)),ISNUMBER(SEARCH("hollandais",B302)),ISNUMBER(SEARCH("néerlandais",B302)),ISNUMBER(SEARCH("allemand",B302)),ISNUMBER(SEARCH("autrichien",B302)),ISNUMBER(SEARCH("suisse",B302)),ISNUMBER(SEARCH("anglais",B302)),ISNUMBER(SEARCH("britannique",B302)),ISNUMBER(SEARCH("écossais",B302)),ISNUMBER(SEARCH("irlandais",B302)),ISNUMBER(SEARCH("russe",B302)),ISNUMBER(SEARCH("portugais",B302)),ISNUMBER(SEARCH("danois",B302)),ISNUMBER(SEARCH("norvégien",B302)),ISNUMBER(SEARCH("suédois",B302)),ISNUMBER(SEARCH("finlandais",B302)),ISNUMBER(SEARCH("polonais",B302)),ISNUMBER(SEARCH("tchèque",B302)),ISNUMBER(SEARCH("hongrois",B302)),ISNUMBER(SEARCH("grec",B302)),ISNUMBER(SEARCH("byzantin",B302)),ISNUMBER(SEARCH("croate",B302)),ISNUMBER(SEARCH("ukrainien",B302)),ISNUMBER(SEARCH("bulgare",B302)),ISNUMBER(SEARCH("biélorusse",B302)),ISNUMBER(SEARCH("maltais",B302))),"Autres pays d'Europe",IF(OR(ISNUMBER(SEARCH("américain",B302)),ISNUMBER(SEARCH("mexicain",B302)),ISNUMBER(SEARCH("canadien",B302)),ISNUMBER(SEARCH("brésilien",B302)),ISNUMBER(SEARCH("argentin",B302))),"Amérique",IF(OR(ISNUMBER(SEARCH("chinois",B302)),ISNUMBER(SEARCH("japonais",B302)),ISNUMBER(SEARCH("coréen",B302)),ISNUMBER(SEARCH("indien",B302)),ISNUMBER(SEARCH("persan",B302)),ISNUMBER(SEARCH("iranien",B302))),"Asie","(non classée)"))))</f>
        <v/>
      </c>
    </row>
    <row r="303">
      <c r="A303" s="2" t="inlineStr">
        <is>
          <t>GIOVANNI DUPRÉ</t>
        </is>
      </c>
      <c r="B303" s="2" t="inlineStr">
        <is>
          <t>italienne</t>
        </is>
      </c>
      <c r="C303" s="2" t="inlineStr">
        <is>
          <t>sculpture</t>
        </is>
      </c>
      <c r="D303" s="2" t="inlineStr">
        <is>
          <t>19e</t>
        </is>
      </c>
      <c r="U303">
        <f>IF(ISNUMBER(SEARCH("fran",B303)),"France",IF(OR(ISNUMBER(SEARCH("italien",B303)),ISNUMBER(SEARCH("espagn",B303)),ISNUMBER(SEARCH("catalan",B303)),ISNUMBER(SEARCH("flamand",B303)),ISNUMBER(SEARCH("belge",B303)),ISNUMBER(SEARCH("hollandais",B303)),ISNUMBER(SEARCH("néerlandais",B303)),ISNUMBER(SEARCH("allemand",B303)),ISNUMBER(SEARCH("autrichien",B303)),ISNUMBER(SEARCH("suisse",B303)),ISNUMBER(SEARCH("anglais",B303)),ISNUMBER(SEARCH("britannique",B303)),ISNUMBER(SEARCH("écossais",B303)),ISNUMBER(SEARCH("irlandais",B303)),ISNUMBER(SEARCH("russe",B303)),ISNUMBER(SEARCH("portugais",B303)),ISNUMBER(SEARCH("danois",B303)),ISNUMBER(SEARCH("norvégien",B303)),ISNUMBER(SEARCH("suédois",B303)),ISNUMBER(SEARCH("finlandais",B303)),ISNUMBER(SEARCH("polonais",B303)),ISNUMBER(SEARCH("tchèque",B303)),ISNUMBER(SEARCH("hongrois",B303)),ISNUMBER(SEARCH("grec",B303)),ISNUMBER(SEARCH("byzantin",B303)),ISNUMBER(SEARCH("croate",B303)),ISNUMBER(SEARCH("ukrainien",B303)),ISNUMBER(SEARCH("bulgare",B303)),ISNUMBER(SEARCH("biélorusse",B303)),ISNUMBER(SEARCH("maltais",B303))),"Autres pays d'Europe",IF(OR(ISNUMBER(SEARCH("américain",B303)),ISNUMBER(SEARCH("mexicain",B303)),ISNUMBER(SEARCH("canadien",B303)),ISNUMBER(SEARCH("brésilien",B303)),ISNUMBER(SEARCH("argentin",B303))),"Amérique",IF(OR(ISNUMBER(SEARCH("chinois",B303)),ISNUMBER(SEARCH("japonais",B303)),ISNUMBER(SEARCH("coréen",B303)),ISNUMBER(SEARCH("indien",B303)),ISNUMBER(SEARCH("persan",B303)),ISNUMBER(SEARCH("iranien",B303))),"Asie","(non classée)"))))</f>
        <v/>
      </c>
    </row>
    <row r="304">
      <c r="A304" s="2" t="inlineStr">
        <is>
          <t>GIOVANNI FATTORI</t>
        </is>
      </c>
      <c r="B304" s="2" t="inlineStr">
        <is>
          <t>italienne</t>
        </is>
      </c>
      <c r="C304" s="2" t="inlineStr">
        <is>
          <t>peinture</t>
        </is>
      </c>
      <c r="D304" s="2" t="inlineStr">
        <is>
          <t>19e</t>
        </is>
      </c>
      <c r="U304">
        <f>IF(ISNUMBER(SEARCH("fran",B304)),"France",IF(OR(ISNUMBER(SEARCH("italien",B304)),ISNUMBER(SEARCH("espagn",B304)),ISNUMBER(SEARCH("catalan",B304)),ISNUMBER(SEARCH("flamand",B304)),ISNUMBER(SEARCH("belge",B304)),ISNUMBER(SEARCH("hollandais",B304)),ISNUMBER(SEARCH("néerlandais",B304)),ISNUMBER(SEARCH("allemand",B304)),ISNUMBER(SEARCH("autrichien",B304)),ISNUMBER(SEARCH("suisse",B304)),ISNUMBER(SEARCH("anglais",B304)),ISNUMBER(SEARCH("britannique",B304)),ISNUMBER(SEARCH("écossais",B304)),ISNUMBER(SEARCH("irlandais",B304)),ISNUMBER(SEARCH("russe",B304)),ISNUMBER(SEARCH("portugais",B304)),ISNUMBER(SEARCH("danois",B304)),ISNUMBER(SEARCH("norvégien",B304)),ISNUMBER(SEARCH("suédois",B304)),ISNUMBER(SEARCH("finlandais",B304)),ISNUMBER(SEARCH("polonais",B304)),ISNUMBER(SEARCH("tchèque",B304)),ISNUMBER(SEARCH("hongrois",B304)),ISNUMBER(SEARCH("grec",B304)),ISNUMBER(SEARCH("byzantin",B304)),ISNUMBER(SEARCH("croate",B304)),ISNUMBER(SEARCH("ukrainien",B304)),ISNUMBER(SEARCH("bulgare",B304)),ISNUMBER(SEARCH("biélorusse",B304)),ISNUMBER(SEARCH("maltais",B304))),"Autres pays d'Europe",IF(OR(ISNUMBER(SEARCH("américain",B304)),ISNUMBER(SEARCH("mexicain",B304)),ISNUMBER(SEARCH("canadien",B304)),ISNUMBER(SEARCH("brésilien",B304)),ISNUMBER(SEARCH("argentin",B304))),"Amérique",IF(OR(ISNUMBER(SEARCH("chinois",B304)),ISNUMBER(SEARCH("japonais",B304)),ISNUMBER(SEARCH("coréen",B304)),ISNUMBER(SEARCH("indien",B304)),ISNUMBER(SEARCH("persan",B304)),ISNUMBER(SEARCH("iranien",B304))),"Asie","(non classée)"))))</f>
        <v/>
      </c>
    </row>
    <row r="305">
      <c r="A305" s="2" t="inlineStr">
        <is>
          <t>GIOVANNI MARIA NOSSENI</t>
        </is>
      </c>
      <c r="B305" s="2" t="inlineStr">
        <is>
          <t>italienne</t>
        </is>
      </c>
      <c r="C305" s="2" t="inlineStr">
        <is>
          <t>sculpture</t>
        </is>
      </c>
      <c r="D305" s="2" t="inlineStr">
        <is>
          <t>17e</t>
        </is>
      </c>
      <c r="U305">
        <f>IF(ISNUMBER(SEARCH("fran",B305)),"France",IF(OR(ISNUMBER(SEARCH("italien",B305)),ISNUMBER(SEARCH("espagn",B305)),ISNUMBER(SEARCH("catalan",B305)),ISNUMBER(SEARCH("flamand",B305)),ISNUMBER(SEARCH("belge",B305)),ISNUMBER(SEARCH("hollandais",B305)),ISNUMBER(SEARCH("néerlandais",B305)),ISNUMBER(SEARCH("allemand",B305)),ISNUMBER(SEARCH("autrichien",B305)),ISNUMBER(SEARCH("suisse",B305)),ISNUMBER(SEARCH("anglais",B305)),ISNUMBER(SEARCH("britannique",B305)),ISNUMBER(SEARCH("écossais",B305)),ISNUMBER(SEARCH("irlandais",B305)),ISNUMBER(SEARCH("russe",B305)),ISNUMBER(SEARCH("portugais",B305)),ISNUMBER(SEARCH("danois",B305)),ISNUMBER(SEARCH("norvégien",B305)),ISNUMBER(SEARCH("suédois",B305)),ISNUMBER(SEARCH("finlandais",B305)),ISNUMBER(SEARCH("polonais",B305)),ISNUMBER(SEARCH("tchèque",B305)),ISNUMBER(SEARCH("hongrois",B305)),ISNUMBER(SEARCH("grec",B305)),ISNUMBER(SEARCH("byzantin",B305)),ISNUMBER(SEARCH("croate",B305)),ISNUMBER(SEARCH("ukrainien",B305)),ISNUMBER(SEARCH("bulgare",B305)),ISNUMBER(SEARCH("biélorusse",B305)),ISNUMBER(SEARCH("maltais",B305))),"Autres pays d'Europe",IF(OR(ISNUMBER(SEARCH("américain",B305)),ISNUMBER(SEARCH("mexicain",B305)),ISNUMBER(SEARCH("canadien",B305)),ISNUMBER(SEARCH("brésilien",B305)),ISNUMBER(SEARCH("argentin",B305))),"Amérique",IF(OR(ISNUMBER(SEARCH("chinois",B305)),ISNUMBER(SEARCH("japonais",B305)),ISNUMBER(SEARCH("coréen",B305)),ISNUMBER(SEARCH("indien",B305)),ISNUMBER(SEARCH("persan",B305)),ISNUMBER(SEARCH("iranien",B305))),"Asie","(non classée)"))))</f>
        <v/>
      </c>
    </row>
    <row r="306">
      <c r="A306" s="2" t="inlineStr">
        <is>
          <t>GIOVANNI PISANO</t>
        </is>
      </c>
      <c r="B306" s="2" t="inlineStr">
        <is>
          <t>italienne</t>
        </is>
      </c>
      <c r="C306" s="2" t="inlineStr">
        <is>
          <t>sculpture</t>
        </is>
      </c>
      <c r="D306" s="2" t="inlineStr">
        <is>
          <t>14e</t>
        </is>
      </c>
      <c r="U306">
        <f>IF(ISNUMBER(SEARCH("fran",B306)),"France",IF(OR(ISNUMBER(SEARCH("italien",B306)),ISNUMBER(SEARCH("espagn",B306)),ISNUMBER(SEARCH("catalan",B306)),ISNUMBER(SEARCH("flamand",B306)),ISNUMBER(SEARCH("belge",B306)),ISNUMBER(SEARCH("hollandais",B306)),ISNUMBER(SEARCH("néerlandais",B306)),ISNUMBER(SEARCH("allemand",B306)),ISNUMBER(SEARCH("autrichien",B306)),ISNUMBER(SEARCH("suisse",B306)),ISNUMBER(SEARCH("anglais",B306)),ISNUMBER(SEARCH("britannique",B306)),ISNUMBER(SEARCH("écossais",B306)),ISNUMBER(SEARCH("irlandais",B306)),ISNUMBER(SEARCH("russe",B306)),ISNUMBER(SEARCH("portugais",B306)),ISNUMBER(SEARCH("danois",B306)),ISNUMBER(SEARCH("norvégien",B306)),ISNUMBER(SEARCH("suédois",B306)),ISNUMBER(SEARCH("finlandais",B306)),ISNUMBER(SEARCH("polonais",B306)),ISNUMBER(SEARCH("tchèque",B306)),ISNUMBER(SEARCH("hongrois",B306)),ISNUMBER(SEARCH("grec",B306)),ISNUMBER(SEARCH("byzantin",B306)),ISNUMBER(SEARCH("croate",B306)),ISNUMBER(SEARCH("ukrainien",B306)),ISNUMBER(SEARCH("bulgare",B306)),ISNUMBER(SEARCH("biélorusse",B306)),ISNUMBER(SEARCH("maltais",B306))),"Autres pays d'Europe",IF(OR(ISNUMBER(SEARCH("américain",B306)),ISNUMBER(SEARCH("mexicain",B306)),ISNUMBER(SEARCH("canadien",B306)),ISNUMBER(SEARCH("brésilien",B306)),ISNUMBER(SEARCH("argentin",B306))),"Amérique",IF(OR(ISNUMBER(SEARCH("chinois",B306)),ISNUMBER(SEARCH("japonais",B306)),ISNUMBER(SEARCH("coréen",B306)),ISNUMBER(SEARCH("indien",B306)),ISNUMBER(SEARCH("persan",B306)),ISNUMBER(SEARCH("iranien",B306))),"Asie","(non classée)"))))</f>
        <v/>
      </c>
    </row>
    <row r="307">
      <c r="A307" s="2" t="inlineStr">
        <is>
          <t>GIOVANNI D'AMBROGIO</t>
        </is>
      </c>
      <c r="B307" s="2" t="inlineStr">
        <is>
          <t>italienne</t>
        </is>
      </c>
      <c r="C307" s="2" t="inlineStr">
        <is>
          <t>sculpture</t>
        </is>
      </c>
      <c r="D307" s="2" t="inlineStr">
        <is>
          <t>14e</t>
        </is>
      </c>
      <c r="U307">
        <f>IF(ISNUMBER(SEARCH("fran",B307)),"France",IF(OR(ISNUMBER(SEARCH("italien",B307)),ISNUMBER(SEARCH("espagn",B307)),ISNUMBER(SEARCH("catalan",B307)),ISNUMBER(SEARCH("flamand",B307)),ISNUMBER(SEARCH("belge",B307)),ISNUMBER(SEARCH("hollandais",B307)),ISNUMBER(SEARCH("néerlandais",B307)),ISNUMBER(SEARCH("allemand",B307)),ISNUMBER(SEARCH("autrichien",B307)),ISNUMBER(SEARCH("suisse",B307)),ISNUMBER(SEARCH("anglais",B307)),ISNUMBER(SEARCH("britannique",B307)),ISNUMBER(SEARCH("écossais",B307)),ISNUMBER(SEARCH("irlandais",B307)),ISNUMBER(SEARCH("russe",B307)),ISNUMBER(SEARCH("portugais",B307)),ISNUMBER(SEARCH("danois",B307)),ISNUMBER(SEARCH("norvégien",B307)),ISNUMBER(SEARCH("suédois",B307)),ISNUMBER(SEARCH("finlandais",B307)),ISNUMBER(SEARCH("polonais",B307)),ISNUMBER(SEARCH("tchèque",B307)),ISNUMBER(SEARCH("hongrois",B307)),ISNUMBER(SEARCH("grec",B307)),ISNUMBER(SEARCH("byzantin",B307)),ISNUMBER(SEARCH("croate",B307)),ISNUMBER(SEARCH("ukrainien",B307)),ISNUMBER(SEARCH("bulgare",B307)),ISNUMBER(SEARCH("biélorusse",B307)),ISNUMBER(SEARCH("maltais",B307))),"Autres pays d'Europe",IF(OR(ISNUMBER(SEARCH("américain",B307)),ISNUMBER(SEARCH("mexicain",B307)),ISNUMBER(SEARCH("canadien",B307)),ISNUMBER(SEARCH("brésilien",B307)),ISNUMBER(SEARCH("argentin",B307))),"Amérique",IF(OR(ISNUMBER(SEARCH("chinois",B307)),ISNUMBER(SEARCH("japonais",B307)),ISNUMBER(SEARCH("coréen",B307)),ISNUMBER(SEARCH("indien",B307)),ISNUMBER(SEARCH("persan",B307)),ISNUMBER(SEARCH("iranien",B307))),"Asie","(non classée)"))))</f>
        <v/>
      </c>
    </row>
    <row r="308">
      <c r="A308" s="2" t="inlineStr">
        <is>
          <t>GIOVANNI DA MILANO</t>
        </is>
      </c>
      <c r="B308" s="2" t="inlineStr">
        <is>
          <t>italienne</t>
        </is>
      </c>
      <c r="C308" s="2" t="inlineStr">
        <is>
          <t>peinture</t>
        </is>
      </c>
      <c r="D308" s="2" t="inlineStr">
        <is>
          <t>14e</t>
        </is>
      </c>
      <c r="U308">
        <f>IF(ISNUMBER(SEARCH("fran",B308)),"France",IF(OR(ISNUMBER(SEARCH("italien",B308)),ISNUMBER(SEARCH("espagn",B308)),ISNUMBER(SEARCH("catalan",B308)),ISNUMBER(SEARCH("flamand",B308)),ISNUMBER(SEARCH("belge",B308)),ISNUMBER(SEARCH("hollandais",B308)),ISNUMBER(SEARCH("néerlandais",B308)),ISNUMBER(SEARCH("allemand",B308)),ISNUMBER(SEARCH("autrichien",B308)),ISNUMBER(SEARCH("suisse",B308)),ISNUMBER(SEARCH("anglais",B308)),ISNUMBER(SEARCH("britannique",B308)),ISNUMBER(SEARCH("écossais",B308)),ISNUMBER(SEARCH("irlandais",B308)),ISNUMBER(SEARCH("russe",B308)),ISNUMBER(SEARCH("portugais",B308)),ISNUMBER(SEARCH("danois",B308)),ISNUMBER(SEARCH("norvégien",B308)),ISNUMBER(SEARCH("suédois",B308)),ISNUMBER(SEARCH("finlandais",B308)),ISNUMBER(SEARCH("polonais",B308)),ISNUMBER(SEARCH("tchèque",B308)),ISNUMBER(SEARCH("hongrois",B308)),ISNUMBER(SEARCH("grec",B308)),ISNUMBER(SEARCH("byzantin",B308)),ISNUMBER(SEARCH("croate",B308)),ISNUMBER(SEARCH("ukrainien",B308)),ISNUMBER(SEARCH("bulgare",B308)),ISNUMBER(SEARCH("biélorusse",B308)),ISNUMBER(SEARCH("maltais",B308))),"Autres pays d'Europe",IF(OR(ISNUMBER(SEARCH("américain",B308)),ISNUMBER(SEARCH("mexicain",B308)),ISNUMBER(SEARCH("canadien",B308)),ISNUMBER(SEARCH("brésilien",B308)),ISNUMBER(SEARCH("argentin",B308))),"Amérique",IF(OR(ISNUMBER(SEARCH("chinois",B308)),ISNUMBER(SEARCH("japonais",B308)),ISNUMBER(SEARCH("coréen",B308)),ISNUMBER(SEARCH("indien",B308)),ISNUMBER(SEARCH("persan",B308)),ISNUMBER(SEARCH("iranien",B308))),"Asie","(non classée)"))))</f>
        <v/>
      </c>
    </row>
    <row r="309">
      <c r="A309" s="2" t="inlineStr">
        <is>
          <t>GIOVANNI DI BALDUCCIO</t>
        </is>
      </c>
      <c r="B309" s="2" t="inlineStr">
        <is>
          <t>italienne</t>
        </is>
      </c>
      <c r="C309" s="2" t="inlineStr">
        <is>
          <t>sculpture</t>
        </is>
      </c>
      <c r="D309" s="2" t="inlineStr">
        <is>
          <t>14e</t>
        </is>
      </c>
      <c r="U309">
        <f>IF(ISNUMBER(SEARCH("fran",B309)),"France",IF(OR(ISNUMBER(SEARCH("italien",B309)),ISNUMBER(SEARCH("espagn",B309)),ISNUMBER(SEARCH("catalan",B309)),ISNUMBER(SEARCH("flamand",B309)),ISNUMBER(SEARCH("belge",B309)),ISNUMBER(SEARCH("hollandais",B309)),ISNUMBER(SEARCH("néerlandais",B309)),ISNUMBER(SEARCH("allemand",B309)),ISNUMBER(SEARCH("autrichien",B309)),ISNUMBER(SEARCH("suisse",B309)),ISNUMBER(SEARCH("anglais",B309)),ISNUMBER(SEARCH("britannique",B309)),ISNUMBER(SEARCH("écossais",B309)),ISNUMBER(SEARCH("irlandais",B309)),ISNUMBER(SEARCH("russe",B309)),ISNUMBER(SEARCH("portugais",B309)),ISNUMBER(SEARCH("danois",B309)),ISNUMBER(SEARCH("norvégien",B309)),ISNUMBER(SEARCH("suédois",B309)),ISNUMBER(SEARCH("finlandais",B309)),ISNUMBER(SEARCH("polonais",B309)),ISNUMBER(SEARCH("tchèque",B309)),ISNUMBER(SEARCH("hongrois",B309)),ISNUMBER(SEARCH("grec",B309)),ISNUMBER(SEARCH("byzantin",B309)),ISNUMBER(SEARCH("croate",B309)),ISNUMBER(SEARCH("ukrainien",B309)),ISNUMBER(SEARCH("bulgare",B309)),ISNUMBER(SEARCH("biélorusse",B309)),ISNUMBER(SEARCH("maltais",B309))),"Autres pays d'Europe",IF(OR(ISNUMBER(SEARCH("américain",B309)),ISNUMBER(SEARCH("mexicain",B309)),ISNUMBER(SEARCH("canadien",B309)),ISNUMBER(SEARCH("brésilien",B309)),ISNUMBER(SEARCH("argentin",B309))),"Amérique",IF(OR(ISNUMBER(SEARCH("chinois",B309)),ISNUMBER(SEARCH("japonais",B309)),ISNUMBER(SEARCH("coréen",B309)),ISNUMBER(SEARCH("indien",B309)),ISNUMBER(SEARCH("persan",B309)),ISNUMBER(SEARCH("iranien",B309))),"Asie","(non classée)"))))</f>
        <v/>
      </c>
    </row>
    <row r="310">
      <c r="A310" s="2" t="inlineStr">
        <is>
          <t>GIROLAMO CAMPAGNA</t>
        </is>
      </c>
      <c r="B310" s="2" t="inlineStr">
        <is>
          <t>italienne</t>
        </is>
      </c>
      <c r="C310" s="2" t="inlineStr">
        <is>
          <t>sculpture</t>
        </is>
      </c>
      <c r="D310" s="2" t="inlineStr">
        <is>
          <t>16e</t>
        </is>
      </c>
      <c r="U310">
        <f>IF(ISNUMBER(SEARCH("fran",B310)),"France",IF(OR(ISNUMBER(SEARCH("italien",B310)),ISNUMBER(SEARCH("espagn",B310)),ISNUMBER(SEARCH("catalan",B310)),ISNUMBER(SEARCH("flamand",B310)),ISNUMBER(SEARCH("belge",B310)),ISNUMBER(SEARCH("hollandais",B310)),ISNUMBER(SEARCH("néerlandais",B310)),ISNUMBER(SEARCH("allemand",B310)),ISNUMBER(SEARCH("autrichien",B310)),ISNUMBER(SEARCH("suisse",B310)),ISNUMBER(SEARCH("anglais",B310)),ISNUMBER(SEARCH("britannique",B310)),ISNUMBER(SEARCH("écossais",B310)),ISNUMBER(SEARCH("irlandais",B310)),ISNUMBER(SEARCH("russe",B310)),ISNUMBER(SEARCH("portugais",B310)),ISNUMBER(SEARCH("danois",B310)),ISNUMBER(SEARCH("norvégien",B310)),ISNUMBER(SEARCH("suédois",B310)),ISNUMBER(SEARCH("finlandais",B310)),ISNUMBER(SEARCH("polonais",B310)),ISNUMBER(SEARCH("tchèque",B310)),ISNUMBER(SEARCH("hongrois",B310)),ISNUMBER(SEARCH("grec",B310)),ISNUMBER(SEARCH("byzantin",B310)),ISNUMBER(SEARCH("croate",B310)),ISNUMBER(SEARCH("ukrainien",B310)),ISNUMBER(SEARCH("bulgare",B310)),ISNUMBER(SEARCH("biélorusse",B310)),ISNUMBER(SEARCH("maltais",B310))),"Autres pays d'Europe",IF(OR(ISNUMBER(SEARCH("américain",B310)),ISNUMBER(SEARCH("mexicain",B310)),ISNUMBER(SEARCH("canadien",B310)),ISNUMBER(SEARCH("brésilien",B310)),ISNUMBER(SEARCH("argentin",B310))),"Amérique",IF(OR(ISNUMBER(SEARCH("chinois",B310)),ISNUMBER(SEARCH("japonais",B310)),ISNUMBER(SEARCH("coréen",B310)),ISNUMBER(SEARCH("indien",B310)),ISNUMBER(SEARCH("persan",B310)),ISNUMBER(SEARCH("iranien",B310))),"Asie","(non classée)"))))</f>
        <v/>
      </c>
    </row>
    <row r="311">
      <c r="A311" s="2" t="inlineStr">
        <is>
          <t>GIULANO FINELLI</t>
        </is>
      </c>
      <c r="B311" s="2" t="inlineStr">
        <is>
          <t>italienne</t>
        </is>
      </c>
      <c r="C311" s="2" t="inlineStr">
        <is>
          <t>sculpture</t>
        </is>
      </c>
      <c r="D311" s="2" t="inlineStr">
        <is>
          <t>17e</t>
        </is>
      </c>
      <c r="U311">
        <f>IF(ISNUMBER(SEARCH("fran",B311)),"France",IF(OR(ISNUMBER(SEARCH("italien",B311)),ISNUMBER(SEARCH("espagn",B311)),ISNUMBER(SEARCH("catalan",B311)),ISNUMBER(SEARCH("flamand",B311)),ISNUMBER(SEARCH("belge",B311)),ISNUMBER(SEARCH("hollandais",B311)),ISNUMBER(SEARCH("néerlandais",B311)),ISNUMBER(SEARCH("allemand",B311)),ISNUMBER(SEARCH("autrichien",B311)),ISNUMBER(SEARCH("suisse",B311)),ISNUMBER(SEARCH("anglais",B311)),ISNUMBER(SEARCH("britannique",B311)),ISNUMBER(SEARCH("écossais",B311)),ISNUMBER(SEARCH("irlandais",B311)),ISNUMBER(SEARCH("russe",B311)),ISNUMBER(SEARCH("portugais",B311)),ISNUMBER(SEARCH("danois",B311)),ISNUMBER(SEARCH("norvégien",B311)),ISNUMBER(SEARCH("suédois",B311)),ISNUMBER(SEARCH("finlandais",B311)),ISNUMBER(SEARCH("polonais",B311)),ISNUMBER(SEARCH("tchèque",B311)),ISNUMBER(SEARCH("hongrois",B311)),ISNUMBER(SEARCH("grec",B311)),ISNUMBER(SEARCH("byzantin",B311)),ISNUMBER(SEARCH("croate",B311)),ISNUMBER(SEARCH("ukrainien",B311)),ISNUMBER(SEARCH("bulgare",B311)),ISNUMBER(SEARCH("biélorusse",B311)),ISNUMBER(SEARCH("maltais",B311))),"Autres pays d'Europe",IF(OR(ISNUMBER(SEARCH("américain",B311)),ISNUMBER(SEARCH("mexicain",B311)),ISNUMBER(SEARCH("canadien",B311)),ISNUMBER(SEARCH("brésilien",B311)),ISNUMBER(SEARCH("argentin",B311))),"Amérique",IF(OR(ISNUMBER(SEARCH("chinois",B311)),ISNUMBER(SEARCH("japonais",B311)),ISNUMBER(SEARCH("coréen",B311)),ISNUMBER(SEARCH("indien",B311)),ISNUMBER(SEARCH("persan",B311)),ISNUMBER(SEARCH("iranien",B311))),"Asie","(non classée)"))))</f>
        <v/>
      </c>
    </row>
    <row r="312">
      <c r="A312" s="2" t="inlineStr">
        <is>
          <t>GIULIO ROMANO</t>
        </is>
      </c>
      <c r="B312" s="2" t="inlineStr">
        <is>
          <t>italienne</t>
        </is>
      </c>
      <c r="C312" s="2" t="inlineStr">
        <is>
          <t>peinture</t>
        </is>
      </c>
      <c r="D312" s="2" t="inlineStr">
        <is>
          <t>16e</t>
        </is>
      </c>
      <c r="U312">
        <f>IF(ISNUMBER(SEARCH("fran",B312)),"France",IF(OR(ISNUMBER(SEARCH("italien",B312)),ISNUMBER(SEARCH("espagn",B312)),ISNUMBER(SEARCH("catalan",B312)),ISNUMBER(SEARCH("flamand",B312)),ISNUMBER(SEARCH("belge",B312)),ISNUMBER(SEARCH("hollandais",B312)),ISNUMBER(SEARCH("néerlandais",B312)),ISNUMBER(SEARCH("allemand",B312)),ISNUMBER(SEARCH("autrichien",B312)),ISNUMBER(SEARCH("suisse",B312)),ISNUMBER(SEARCH("anglais",B312)),ISNUMBER(SEARCH("britannique",B312)),ISNUMBER(SEARCH("écossais",B312)),ISNUMBER(SEARCH("irlandais",B312)),ISNUMBER(SEARCH("russe",B312)),ISNUMBER(SEARCH("portugais",B312)),ISNUMBER(SEARCH("danois",B312)),ISNUMBER(SEARCH("norvégien",B312)),ISNUMBER(SEARCH("suédois",B312)),ISNUMBER(SEARCH("finlandais",B312)),ISNUMBER(SEARCH("polonais",B312)),ISNUMBER(SEARCH("tchèque",B312)),ISNUMBER(SEARCH("hongrois",B312)),ISNUMBER(SEARCH("grec",B312)),ISNUMBER(SEARCH("byzantin",B312)),ISNUMBER(SEARCH("croate",B312)),ISNUMBER(SEARCH("ukrainien",B312)),ISNUMBER(SEARCH("bulgare",B312)),ISNUMBER(SEARCH("biélorusse",B312)),ISNUMBER(SEARCH("maltais",B312))),"Autres pays d'Europe",IF(OR(ISNUMBER(SEARCH("américain",B312)),ISNUMBER(SEARCH("mexicain",B312)),ISNUMBER(SEARCH("canadien",B312)),ISNUMBER(SEARCH("brésilien",B312)),ISNUMBER(SEARCH("argentin",B312))),"Amérique",IF(OR(ISNUMBER(SEARCH("chinois",B312)),ISNUMBER(SEARCH("japonais",B312)),ISNUMBER(SEARCH("coréen",B312)),ISNUMBER(SEARCH("indien",B312)),ISNUMBER(SEARCH("persan",B312)),ISNUMBER(SEARCH("iranien",B312))),"Asie","(non classée)"))))</f>
        <v/>
      </c>
    </row>
    <row r="313">
      <c r="A313" s="2" t="inlineStr">
        <is>
          <t>GIUSEPPE ARCIMBOLDO</t>
        </is>
      </c>
      <c r="B313" s="2" t="inlineStr">
        <is>
          <t>italienne</t>
        </is>
      </c>
      <c r="C313" s="2" t="inlineStr">
        <is>
          <t>peinture</t>
        </is>
      </c>
      <c r="D313" s="2" t="inlineStr">
        <is>
          <t>16e</t>
        </is>
      </c>
      <c r="U313">
        <f>IF(ISNUMBER(SEARCH("fran",B313)),"France",IF(OR(ISNUMBER(SEARCH("italien",B313)),ISNUMBER(SEARCH("espagn",B313)),ISNUMBER(SEARCH("catalan",B313)),ISNUMBER(SEARCH("flamand",B313)),ISNUMBER(SEARCH("belge",B313)),ISNUMBER(SEARCH("hollandais",B313)),ISNUMBER(SEARCH("néerlandais",B313)),ISNUMBER(SEARCH("allemand",B313)),ISNUMBER(SEARCH("autrichien",B313)),ISNUMBER(SEARCH("suisse",B313)),ISNUMBER(SEARCH("anglais",B313)),ISNUMBER(SEARCH("britannique",B313)),ISNUMBER(SEARCH("écossais",B313)),ISNUMBER(SEARCH("irlandais",B313)),ISNUMBER(SEARCH("russe",B313)),ISNUMBER(SEARCH("portugais",B313)),ISNUMBER(SEARCH("danois",B313)),ISNUMBER(SEARCH("norvégien",B313)),ISNUMBER(SEARCH("suédois",B313)),ISNUMBER(SEARCH("finlandais",B313)),ISNUMBER(SEARCH("polonais",B313)),ISNUMBER(SEARCH("tchèque",B313)),ISNUMBER(SEARCH("hongrois",B313)),ISNUMBER(SEARCH("grec",B313)),ISNUMBER(SEARCH("byzantin",B313)),ISNUMBER(SEARCH("croate",B313)),ISNUMBER(SEARCH("ukrainien",B313)),ISNUMBER(SEARCH("bulgare",B313)),ISNUMBER(SEARCH("biélorusse",B313)),ISNUMBER(SEARCH("maltais",B313))),"Autres pays d'Europe",IF(OR(ISNUMBER(SEARCH("américain",B313)),ISNUMBER(SEARCH("mexicain",B313)),ISNUMBER(SEARCH("canadien",B313)),ISNUMBER(SEARCH("brésilien",B313)),ISNUMBER(SEARCH("argentin",B313))),"Amérique",IF(OR(ISNUMBER(SEARCH("chinois",B313)),ISNUMBER(SEARCH("japonais",B313)),ISNUMBER(SEARCH("coréen",B313)),ISNUMBER(SEARCH("indien",B313)),ISNUMBER(SEARCH("persan",B313)),ISNUMBER(SEARCH("iranien",B313))),"Asie","(non classée)"))))</f>
        <v/>
      </c>
    </row>
    <row r="314">
      <c r="A314" s="2" t="inlineStr">
        <is>
          <t>GIUSEPPE CASTIGLIONE (LANG SHINING)</t>
        </is>
      </c>
      <c r="B314" s="2" t="inlineStr">
        <is>
          <t>chinoise</t>
        </is>
      </c>
      <c r="C314" s="2" t="inlineStr">
        <is>
          <t>peinture</t>
        </is>
      </c>
      <c r="D314" s="2" t="inlineStr">
        <is>
          <t>18e</t>
        </is>
      </c>
      <c r="U314">
        <f>IF(ISNUMBER(SEARCH("fran",B314)),"France",IF(OR(ISNUMBER(SEARCH("italien",B314)),ISNUMBER(SEARCH("espagn",B314)),ISNUMBER(SEARCH("catalan",B314)),ISNUMBER(SEARCH("flamand",B314)),ISNUMBER(SEARCH("belge",B314)),ISNUMBER(SEARCH("hollandais",B314)),ISNUMBER(SEARCH("néerlandais",B314)),ISNUMBER(SEARCH("allemand",B314)),ISNUMBER(SEARCH("autrichien",B314)),ISNUMBER(SEARCH("suisse",B314)),ISNUMBER(SEARCH("anglais",B314)),ISNUMBER(SEARCH("britannique",B314)),ISNUMBER(SEARCH("écossais",B314)),ISNUMBER(SEARCH("irlandais",B314)),ISNUMBER(SEARCH("russe",B314)),ISNUMBER(SEARCH("portugais",B314)),ISNUMBER(SEARCH("danois",B314)),ISNUMBER(SEARCH("norvégien",B314)),ISNUMBER(SEARCH("suédois",B314)),ISNUMBER(SEARCH("finlandais",B314)),ISNUMBER(SEARCH("polonais",B314)),ISNUMBER(SEARCH("tchèque",B314)),ISNUMBER(SEARCH("hongrois",B314)),ISNUMBER(SEARCH("grec",B314)),ISNUMBER(SEARCH("byzantin",B314)),ISNUMBER(SEARCH("croate",B314)),ISNUMBER(SEARCH("ukrainien",B314)),ISNUMBER(SEARCH("bulgare",B314)),ISNUMBER(SEARCH("biélorusse",B314)),ISNUMBER(SEARCH("maltais",B314))),"Autres pays d'Europe",IF(OR(ISNUMBER(SEARCH("américain",B314)),ISNUMBER(SEARCH("mexicain",B314)),ISNUMBER(SEARCH("canadien",B314)),ISNUMBER(SEARCH("brésilien",B314)),ISNUMBER(SEARCH("argentin",B314))),"Amérique",IF(OR(ISNUMBER(SEARCH("chinois",B314)),ISNUMBER(SEARCH("japonais",B314)),ISNUMBER(SEARCH("coréen",B314)),ISNUMBER(SEARCH("indien",B314)),ISNUMBER(SEARCH("persan",B314)),ISNUMBER(SEARCH("iranien",B314))),"Asie","(non classée)"))))</f>
        <v/>
      </c>
    </row>
    <row r="315">
      <c r="A315" s="2" t="inlineStr">
        <is>
          <t>GIUSEPPE SANMARTINO</t>
        </is>
      </c>
      <c r="B315" s="2" t="inlineStr">
        <is>
          <t>italienne</t>
        </is>
      </c>
      <c r="C315" s="2" t="inlineStr">
        <is>
          <t>sculpture</t>
        </is>
      </c>
      <c r="D315" s="2" t="inlineStr">
        <is>
          <t>18e</t>
        </is>
      </c>
      <c r="U315">
        <f>IF(ISNUMBER(SEARCH("fran",B315)),"France",IF(OR(ISNUMBER(SEARCH("italien",B315)),ISNUMBER(SEARCH("espagn",B315)),ISNUMBER(SEARCH("catalan",B315)),ISNUMBER(SEARCH("flamand",B315)),ISNUMBER(SEARCH("belge",B315)),ISNUMBER(SEARCH("hollandais",B315)),ISNUMBER(SEARCH("néerlandais",B315)),ISNUMBER(SEARCH("allemand",B315)),ISNUMBER(SEARCH("autrichien",B315)),ISNUMBER(SEARCH("suisse",B315)),ISNUMBER(SEARCH("anglais",B315)),ISNUMBER(SEARCH("britannique",B315)),ISNUMBER(SEARCH("écossais",B315)),ISNUMBER(SEARCH("irlandais",B315)),ISNUMBER(SEARCH("russe",B315)),ISNUMBER(SEARCH("portugais",B315)),ISNUMBER(SEARCH("danois",B315)),ISNUMBER(SEARCH("norvégien",B315)),ISNUMBER(SEARCH("suédois",B315)),ISNUMBER(SEARCH("finlandais",B315)),ISNUMBER(SEARCH("polonais",B315)),ISNUMBER(SEARCH("tchèque",B315)),ISNUMBER(SEARCH("hongrois",B315)),ISNUMBER(SEARCH("grec",B315)),ISNUMBER(SEARCH("byzantin",B315)),ISNUMBER(SEARCH("croate",B315)),ISNUMBER(SEARCH("ukrainien",B315)),ISNUMBER(SEARCH("bulgare",B315)),ISNUMBER(SEARCH("biélorusse",B315)),ISNUMBER(SEARCH("maltais",B315))),"Autres pays d'Europe",IF(OR(ISNUMBER(SEARCH("américain",B315)),ISNUMBER(SEARCH("mexicain",B315)),ISNUMBER(SEARCH("canadien",B315)),ISNUMBER(SEARCH("brésilien",B315)),ISNUMBER(SEARCH("argentin",B315))),"Amérique",IF(OR(ISNUMBER(SEARCH("chinois",B315)),ISNUMBER(SEARCH("japonais",B315)),ISNUMBER(SEARCH("coréen",B315)),ISNUMBER(SEARCH("indien",B315)),ISNUMBER(SEARCH("persan",B315)),ISNUMBER(SEARCH("iranien",B315))),"Asie","(non classée)"))))</f>
        <v/>
      </c>
    </row>
    <row r="316">
      <c r="A316" s="2" t="inlineStr">
        <is>
          <t>GIUSEPPE TORRETTI</t>
        </is>
      </c>
      <c r="B316" s="2" t="inlineStr">
        <is>
          <t>italienne</t>
        </is>
      </c>
      <c r="C316" s="2" t="inlineStr">
        <is>
          <t>sculpture</t>
        </is>
      </c>
      <c r="D316" s="2" t="inlineStr">
        <is>
          <t>18e</t>
        </is>
      </c>
      <c r="U316">
        <f>IF(ISNUMBER(SEARCH("fran",B316)),"France",IF(OR(ISNUMBER(SEARCH("italien",B316)),ISNUMBER(SEARCH("espagn",B316)),ISNUMBER(SEARCH("catalan",B316)),ISNUMBER(SEARCH("flamand",B316)),ISNUMBER(SEARCH("belge",B316)),ISNUMBER(SEARCH("hollandais",B316)),ISNUMBER(SEARCH("néerlandais",B316)),ISNUMBER(SEARCH("allemand",B316)),ISNUMBER(SEARCH("autrichien",B316)),ISNUMBER(SEARCH("suisse",B316)),ISNUMBER(SEARCH("anglais",B316)),ISNUMBER(SEARCH("britannique",B316)),ISNUMBER(SEARCH("écossais",B316)),ISNUMBER(SEARCH("irlandais",B316)),ISNUMBER(SEARCH("russe",B316)),ISNUMBER(SEARCH("portugais",B316)),ISNUMBER(SEARCH("danois",B316)),ISNUMBER(SEARCH("norvégien",B316)),ISNUMBER(SEARCH("suédois",B316)),ISNUMBER(SEARCH("finlandais",B316)),ISNUMBER(SEARCH("polonais",B316)),ISNUMBER(SEARCH("tchèque",B316)),ISNUMBER(SEARCH("hongrois",B316)),ISNUMBER(SEARCH("grec",B316)),ISNUMBER(SEARCH("byzantin",B316)),ISNUMBER(SEARCH("croate",B316)),ISNUMBER(SEARCH("ukrainien",B316)),ISNUMBER(SEARCH("bulgare",B316)),ISNUMBER(SEARCH("biélorusse",B316)),ISNUMBER(SEARCH("maltais",B316))),"Autres pays d'Europe",IF(OR(ISNUMBER(SEARCH("américain",B316)),ISNUMBER(SEARCH("mexicain",B316)),ISNUMBER(SEARCH("canadien",B316)),ISNUMBER(SEARCH("brésilien",B316)),ISNUMBER(SEARCH("argentin",B316))),"Amérique",IF(OR(ISNUMBER(SEARCH("chinois",B316)),ISNUMBER(SEARCH("japonais",B316)),ISNUMBER(SEARCH("coréen",B316)),ISNUMBER(SEARCH("indien",B316)),ISNUMBER(SEARCH("persan",B316)),ISNUMBER(SEARCH("iranien",B316))),"Asie","(non classée)"))))</f>
        <v/>
      </c>
    </row>
    <row r="317">
      <c r="A317" s="2" t="inlineStr">
        <is>
          <t>GIUSTO DE' MENABUOI</t>
        </is>
      </c>
      <c r="B317" s="2" t="inlineStr">
        <is>
          <t>italienne</t>
        </is>
      </c>
      <c r="C317" s="2" t="inlineStr">
        <is>
          <t>peinture</t>
        </is>
      </c>
      <c r="D317" s="2" t="inlineStr">
        <is>
          <t>14e</t>
        </is>
      </c>
      <c r="U317">
        <f>IF(ISNUMBER(SEARCH("fran",B317)),"France",IF(OR(ISNUMBER(SEARCH("italien",B317)),ISNUMBER(SEARCH("espagn",B317)),ISNUMBER(SEARCH("catalan",B317)),ISNUMBER(SEARCH("flamand",B317)),ISNUMBER(SEARCH("belge",B317)),ISNUMBER(SEARCH("hollandais",B317)),ISNUMBER(SEARCH("néerlandais",B317)),ISNUMBER(SEARCH("allemand",B317)),ISNUMBER(SEARCH("autrichien",B317)),ISNUMBER(SEARCH("suisse",B317)),ISNUMBER(SEARCH("anglais",B317)),ISNUMBER(SEARCH("britannique",B317)),ISNUMBER(SEARCH("écossais",B317)),ISNUMBER(SEARCH("irlandais",B317)),ISNUMBER(SEARCH("russe",B317)),ISNUMBER(SEARCH("portugais",B317)),ISNUMBER(SEARCH("danois",B317)),ISNUMBER(SEARCH("norvégien",B317)),ISNUMBER(SEARCH("suédois",B317)),ISNUMBER(SEARCH("finlandais",B317)),ISNUMBER(SEARCH("polonais",B317)),ISNUMBER(SEARCH("tchèque",B317)),ISNUMBER(SEARCH("hongrois",B317)),ISNUMBER(SEARCH("grec",B317)),ISNUMBER(SEARCH("byzantin",B317)),ISNUMBER(SEARCH("croate",B317)),ISNUMBER(SEARCH("ukrainien",B317)),ISNUMBER(SEARCH("bulgare",B317)),ISNUMBER(SEARCH("biélorusse",B317)),ISNUMBER(SEARCH("maltais",B317))),"Autres pays d'Europe",IF(OR(ISNUMBER(SEARCH("américain",B317)),ISNUMBER(SEARCH("mexicain",B317)),ISNUMBER(SEARCH("canadien",B317)),ISNUMBER(SEARCH("brésilien",B317)),ISNUMBER(SEARCH("argentin",B317))),"Amérique",IF(OR(ISNUMBER(SEARCH("chinois",B317)),ISNUMBER(SEARCH("japonais",B317)),ISNUMBER(SEARCH("coréen",B317)),ISNUMBER(SEARCH("indien",B317)),ISNUMBER(SEARCH("persan",B317)),ISNUMBER(SEARCH("iranien",B317))),"Asie","(non classée)"))))</f>
        <v/>
      </c>
    </row>
    <row r="318">
      <c r="A318" s="2" t="inlineStr">
        <is>
          <t>GRANT WOOD</t>
        </is>
      </c>
      <c r="B318" s="2" t="inlineStr">
        <is>
          <t>américaine</t>
        </is>
      </c>
      <c r="C318" s="2" t="inlineStr">
        <is>
          <t>peinture</t>
        </is>
      </c>
      <c r="D318" s="2" t="inlineStr">
        <is>
          <t>20e</t>
        </is>
      </c>
      <c r="U318">
        <f>IF(ISNUMBER(SEARCH("fran",B318)),"France",IF(OR(ISNUMBER(SEARCH("italien",B318)),ISNUMBER(SEARCH("espagn",B318)),ISNUMBER(SEARCH("catalan",B318)),ISNUMBER(SEARCH("flamand",B318)),ISNUMBER(SEARCH("belge",B318)),ISNUMBER(SEARCH("hollandais",B318)),ISNUMBER(SEARCH("néerlandais",B318)),ISNUMBER(SEARCH("allemand",B318)),ISNUMBER(SEARCH("autrichien",B318)),ISNUMBER(SEARCH("suisse",B318)),ISNUMBER(SEARCH("anglais",B318)),ISNUMBER(SEARCH("britannique",B318)),ISNUMBER(SEARCH("écossais",B318)),ISNUMBER(SEARCH("irlandais",B318)),ISNUMBER(SEARCH("russe",B318)),ISNUMBER(SEARCH("portugais",B318)),ISNUMBER(SEARCH("danois",B318)),ISNUMBER(SEARCH("norvégien",B318)),ISNUMBER(SEARCH("suédois",B318)),ISNUMBER(SEARCH("finlandais",B318)),ISNUMBER(SEARCH("polonais",B318)),ISNUMBER(SEARCH("tchèque",B318)),ISNUMBER(SEARCH("hongrois",B318)),ISNUMBER(SEARCH("grec",B318)),ISNUMBER(SEARCH("byzantin",B318)),ISNUMBER(SEARCH("croate",B318)),ISNUMBER(SEARCH("ukrainien",B318)),ISNUMBER(SEARCH("bulgare",B318)),ISNUMBER(SEARCH("biélorusse",B318)),ISNUMBER(SEARCH("maltais",B318))),"Autres pays d'Europe",IF(OR(ISNUMBER(SEARCH("américain",B318)),ISNUMBER(SEARCH("mexicain",B318)),ISNUMBER(SEARCH("canadien",B318)),ISNUMBER(SEARCH("brésilien",B318)),ISNUMBER(SEARCH("argentin",B318))),"Amérique",IF(OR(ISNUMBER(SEARCH("chinois",B318)),ISNUMBER(SEARCH("japonais",B318)),ISNUMBER(SEARCH("coréen",B318)),ISNUMBER(SEARCH("indien",B318)),ISNUMBER(SEARCH("persan",B318)),ISNUMBER(SEARCH("iranien",B318))),"Asie","(non classée)"))))</f>
        <v/>
      </c>
    </row>
    <row r="319">
      <c r="A319" s="2" t="inlineStr">
        <is>
          <t>GREGOR VAN DER SCHARDT</t>
        </is>
      </c>
      <c r="B319" s="2" t="inlineStr">
        <is>
          <t>hollandaise (Pays-Bas)</t>
        </is>
      </c>
      <c r="C319" s="2" t="inlineStr">
        <is>
          <t>sculpture</t>
        </is>
      </c>
      <c r="D319" s="2" t="inlineStr">
        <is>
          <t>16e</t>
        </is>
      </c>
      <c r="U319">
        <f>IF(ISNUMBER(SEARCH("fran",B319)),"France",IF(OR(ISNUMBER(SEARCH("italien",B319)),ISNUMBER(SEARCH("espagn",B319)),ISNUMBER(SEARCH("catalan",B319)),ISNUMBER(SEARCH("flamand",B319)),ISNUMBER(SEARCH("belge",B319)),ISNUMBER(SEARCH("hollandais",B319)),ISNUMBER(SEARCH("néerlandais",B319)),ISNUMBER(SEARCH("allemand",B319)),ISNUMBER(SEARCH("autrichien",B319)),ISNUMBER(SEARCH("suisse",B319)),ISNUMBER(SEARCH("anglais",B319)),ISNUMBER(SEARCH("britannique",B319)),ISNUMBER(SEARCH("écossais",B319)),ISNUMBER(SEARCH("irlandais",B319)),ISNUMBER(SEARCH("russe",B319)),ISNUMBER(SEARCH("portugais",B319)),ISNUMBER(SEARCH("danois",B319)),ISNUMBER(SEARCH("norvégien",B319)),ISNUMBER(SEARCH("suédois",B319)),ISNUMBER(SEARCH("finlandais",B319)),ISNUMBER(SEARCH("polonais",B319)),ISNUMBER(SEARCH("tchèque",B319)),ISNUMBER(SEARCH("hongrois",B319)),ISNUMBER(SEARCH("grec",B319)),ISNUMBER(SEARCH("byzantin",B319)),ISNUMBER(SEARCH("croate",B319)),ISNUMBER(SEARCH("ukrainien",B319)),ISNUMBER(SEARCH("bulgare",B319)),ISNUMBER(SEARCH("biélorusse",B319)),ISNUMBER(SEARCH("maltais",B319))),"Autres pays d'Europe",IF(OR(ISNUMBER(SEARCH("américain",B319)),ISNUMBER(SEARCH("mexicain",B319)),ISNUMBER(SEARCH("canadien",B319)),ISNUMBER(SEARCH("brésilien",B319)),ISNUMBER(SEARCH("argentin",B319))),"Amérique",IF(OR(ISNUMBER(SEARCH("chinois",B319)),ISNUMBER(SEARCH("japonais",B319)),ISNUMBER(SEARCH("coréen",B319)),ISNUMBER(SEARCH("indien",B319)),ISNUMBER(SEARCH("persan",B319)),ISNUMBER(SEARCH("iranien",B319))),"Asie","(non classée)"))))</f>
        <v/>
      </c>
    </row>
    <row r="320">
      <c r="A320" s="2" t="inlineStr">
        <is>
          <t>GREGORIO FERNÁNDEZ</t>
        </is>
      </c>
      <c r="B320" s="2" t="inlineStr">
        <is>
          <t>espagnole</t>
        </is>
      </c>
      <c r="C320" s="2" t="inlineStr">
        <is>
          <t>sculpture</t>
        </is>
      </c>
      <c r="D320" s="2" t="inlineStr">
        <is>
          <t>17e</t>
        </is>
      </c>
      <c r="U320">
        <f>IF(ISNUMBER(SEARCH("fran",B320)),"France",IF(OR(ISNUMBER(SEARCH("italien",B320)),ISNUMBER(SEARCH("espagn",B320)),ISNUMBER(SEARCH("catalan",B320)),ISNUMBER(SEARCH("flamand",B320)),ISNUMBER(SEARCH("belge",B320)),ISNUMBER(SEARCH("hollandais",B320)),ISNUMBER(SEARCH("néerlandais",B320)),ISNUMBER(SEARCH("allemand",B320)),ISNUMBER(SEARCH("autrichien",B320)),ISNUMBER(SEARCH("suisse",B320)),ISNUMBER(SEARCH("anglais",B320)),ISNUMBER(SEARCH("britannique",B320)),ISNUMBER(SEARCH("écossais",B320)),ISNUMBER(SEARCH("irlandais",B320)),ISNUMBER(SEARCH("russe",B320)),ISNUMBER(SEARCH("portugais",B320)),ISNUMBER(SEARCH("danois",B320)),ISNUMBER(SEARCH("norvégien",B320)),ISNUMBER(SEARCH("suédois",B320)),ISNUMBER(SEARCH("finlandais",B320)),ISNUMBER(SEARCH("polonais",B320)),ISNUMBER(SEARCH("tchèque",B320)),ISNUMBER(SEARCH("hongrois",B320)),ISNUMBER(SEARCH("grec",B320)),ISNUMBER(SEARCH("byzantin",B320)),ISNUMBER(SEARCH("croate",B320)),ISNUMBER(SEARCH("ukrainien",B320)),ISNUMBER(SEARCH("bulgare",B320)),ISNUMBER(SEARCH("biélorusse",B320)),ISNUMBER(SEARCH("maltais",B320))),"Autres pays d'Europe",IF(OR(ISNUMBER(SEARCH("américain",B320)),ISNUMBER(SEARCH("mexicain",B320)),ISNUMBER(SEARCH("canadien",B320)),ISNUMBER(SEARCH("brésilien",B320)),ISNUMBER(SEARCH("argentin",B320))),"Amérique",IF(OR(ISNUMBER(SEARCH("chinois",B320)),ISNUMBER(SEARCH("japonais",B320)),ISNUMBER(SEARCH("coréen",B320)),ISNUMBER(SEARCH("indien",B320)),ISNUMBER(SEARCH("persan",B320)),ISNUMBER(SEARCH("iranien",B320))),"Asie","(non classée)"))))</f>
        <v/>
      </c>
    </row>
    <row r="321">
      <c r="A321" s="2" t="inlineStr">
        <is>
          <t>GRINLING GIBBONS</t>
        </is>
      </c>
      <c r="B321" s="2" t="inlineStr">
        <is>
          <t>anglaise (Royaume-Uni)</t>
        </is>
      </c>
      <c r="C321" s="2" t="inlineStr">
        <is>
          <t>sculpture</t>
        </is>
      </c>
      <c r="D321" s="2" t="inlineStr">
        <is>
          <t>17e</t>
        </is>
      </c>
      <c r="U321">
        <f>IF(ISNUMBER(SEARCH("fran",B321)),"France",IF(OR(ISNUMBER(SEARCH("italien",B321)),ISNUMBER(SEARCH("espagn",B321)),ISNUMBER(SEARCH("catalan",B321)),ISNUMBER(SEARCH("flamand",B321)),ISNUMBER(SEARCH("belge",B321)),ISNUMBER(SEARCH("hollandais",B321)),ISNUMBER(SEARCH("néerlandais",B321)),ISNUMBER(SEARCH("allemand",B321)),ISNUMBER(SEARCH("autrichien",B321)),ISNUMBER(SEARCH("suisse",B321)),ISNUMBER(SEARCH("anglais",B321)),ISNUMBER(SEARCH("britannique",B321)),ISNUMBER(SEARCH("écossais",B321)),ISNUMBER(SEARCH("irlandais",B321)),ISNUMBER(SEARCH("russe",B321)),ISNUMBER(SEARCH("portugais",B321)),ISNUMBER(SEARCH("danois",B321)),ISNUMBER(SEARCH("norvégien",B321)),ISNUMBER(SEARCH("suédois",B321)),ISNUMBER(SEARCH("finlandais",B321)),ISNUMBER(SEARCH("polonais",B321)),ISNUMBER(SEARCH("tchèque",B321)),ISNUMBER(SEARCH("hongrois",B321)),ISNUMBER(SEARCH("grec",B321)),ISNUMBER(SEARCH("byzantin",B321)),ISNUMBER(SEARCH("croate",B321)),ISNUMBER(SEARCH("ukrainien",B321)),ISNUMBER(SEARCH("bulgare",B321)),ISNUMBER(SEARCH("biélorusse",B321)),ISNUMBER(SEARCH("maltais",B321))),"Autres pays d'Europe",IF(OR(ISNUMBER(SEARCH("américain",B321)),ISNUMBER(SEARCH("mexicain",B321)),ISNUMBER(SEARCH("canadien",B321)),ISNUMBER(SEARCH("brésilien",B321)),ISNUMBER(SEARCH("argentin",B321))),"Amérique",IF(OR(ISNUMBER(SEARCH("chinois",B321)),ISNUMBER(SEARCH("japonais",B321)),ISNUMBER(SEARCH("coréen",B321)),ISNUMBER(SEARCH("indien",B321)),ISNUMBER(SEARCH("persan",B321)),ISNUMBER(SEARCH("iranien",B321))),"Asie","(non classée)"))))</f>
        <v/>
      </c>
    </row>
    <row r="322">
      <c r="A322" s="2" t="inlineStr">
        <is>
          <t>GUARIENTO DI ARPO</t>
        </is>
      </c>
      <c r="B322" s="2" t="inlineStr">
        <is>
          <t>italienne</t>
        </is>
      </c>
      <c r="C322" s="2" t="inlineStr">
        <is>
          <t>peinture</t>
        </is>
      </c>
      <c r="D322" s="2" t="inlineStr">
        <is>
          <t>14e</t>
        </is>
      </c>
      <c r="U322">
        <f>IF(ISNUMBER(SEARCH("fran",B322)),"France",IF(OR(ISNUMBER(SEARCH("italien",B322)),ISNUMBER(SEARCH("espagn",B322)),ISNUMBER(SEARCH("catalan",B322)),ISNUMBER(SEARCH("flamand",B322)),ISNUMBER(SEARCH("belge",B322)),ISNUMBER(SEARCH("hollandais",B322)),ISNUMBER(SEARCH("néerlandais",B322)),ISNUMBER(SEARCH("allemand",B322)),ISNUMBER(SEARCH("autrichien",B322)),ISNUMBER(SEARCH("suisse",B322)),ISNUMBER(SEARCH("anglais",B322)),ISNUMBER(SEARCH("britannique",B322)),ISNUMBER(SEARCH("écossais",B322)),ISNUMBER(SEARCH("irlandais",B322)),ISNUMBER(SEARCH("russe",B322)),ISNUMBER(SEARCH("portugais",B322)),ISNUMBER(SEARCH("danois",B322)),ISNUMBER(SEARCH("norvégien",B322)),ISNUMBER(SEARCH("suédois",B322)),ISNUMBER(SEARCH("finlandais",B322)),ISNUMBER(SEARCH("polonais",B322)),ISNUMBER(SEARCH("tchèque",B322)),ISNUMBER(SEARCH("hongrois",B322)),ISNUMBER(SEARCH("grec",B322)),ISNUMBER(SEARCH("byzantin",B322)),ISNUMBER(SEARCH("croate",B322)),ISNUMBER(SEARCH("ukrainien",B322)),ISNUMBER(SEARCH("bulgare",B322)),ISNUMBER(SEARCH("biélorusse",B322)),ISNUMBER(SEARCH("maltais",B322))),"Autres pays d'Europe",IF(OR(ISNUMBER(SEARCH("américain",B322)),ISNUMBER(SEARCH("mexicain",B322)),ISNUMBER(SEARCH("canadien",B322)),ISNUMBER(SEARCH("brésilien",B322)),ISNUMBER(SEARCH("argentin",B322))),"Amérique",IF(OR(ISNUMBER(SEARCH("chinois",B322)),ISNUMBER(SEARCH("japonais",B322)),ISNUMBER(SEARCH("coréen",B322)),ISNUMBER(SEARCH("indien",B322)),ISNUMBER(SEARCH("persan",B322)),ISNUMBER(SEARCH("iranien",B322))),"Asie","(non classée)"))))</f>
        <v/>
      </c>
    </row>
    <row r="323">
      <c r="A323" s="2" t="inlineStr">
        <is>
          <t>GUGLIELMO DELLA PORTA</t>
        </is>
      </c>
      <c r="B323" s="2" t="inlineStr">
        <is>
          <t>italienne</t>
        </is>
      </c>
      <c r="C323" s="2" t="inlineStr">
        <is>
          <t>sculpture</t>
        </is>
      </c>
      <c r="D323" s="2" t="inlineStr">
        <is>
          <t>16e</t>
        </is>
      </c>
      <c r="U323">
        <f>IF(ISNUMBER(SEARCH("fran",B323)),"France",IF(OR(ISNUMBER(SEARCH("italien",B323)),ISNUMBER(SEARCH("espagn",B323)),ISNUMBER(SEARCH("catalan",B323)),ISNUMBER(SEARCH("flamand",B323)),ISNUMBER(SEARCH("belge",B323)),ISNUMBER(SEARCH("hollandais",B323)),ISNUMBER(SEARCH("néerlandais",B323)),ISNUMBER(SEARCH("allemand",B323)),ISNUMBER(SEARCH("autrichien",B323)),ISNUMBER(SEARCH("suisse",B323)),ISNUMBER(SEARCH("anglais",B323)),ISNUMBER(SEARCH("britannique",B323)),ISNUMBER(SEARCH("écossais",B323)),ISNUMBER(SEARCH("irlandais",B323)),ISNUMBER(SEARCH("russe",B323)),ISNUMBER(SEARCH("portugais",B323)),ISNUMBER(SEARCH("danois",B323)),ISNUMBER(SEARCH("norvégien",B323)),ISNUMBER(SEARCH("suédois",B323)),ISNUMBER(SEARCH("finlandais",B323)),ISNUMBER(SEARCH("polonais",B323)),ISNUMBER(SEARCH("tchèque",B323)),ISNUMBER(SEARCH("hongrois",B323)),ISNUMBER(SEARCH("grec",B323)),ISNUMBER(SEARCH("byzantin",B323)),ISNUMBER(SEARCH("croate",B323)),ISNUMBER(SEARCH("ukrainien",B323)),ISNUMBER(SEARCH("bulgare",B323)),ISNUMBER(SEARCH("biélorusse",B323)),ISNUMBER(SEARCH("maltais",B323))),"Autres pays d'Europe",IF(OR(ISNUMBER(SEARCH("américain",B323)),ISNUMBER(SEARCH("mexicain",B323)),ISNUMBER(SEARCH("canadien",B323)),ISNUMBER(SEARCH("brésilien",B323)),ISNUMBER(SEARCH("argentin",B323))),"Amérique",IF(OR(ISNUMBER(SEARCH("chinois",B323)),ISNUMBER(SEARCH("japonais",B323)),ISNUMBER(SEARCH("coréen",B323)),ISNUMBER(SEARCH("indien",B323)),ISNUMBER(SEARCH("persan",B323)),ISNUMBER(SEARCH("iranien",B323))),"Asie","(non classée)"))))</f>
        <v/>
      </c>
    </row>
    <row r="324">
      <c r="A324" s="2" t="inlineStr">
        <is>
          <t>GUIDO MAZZONI</t>
        </is>
      </c>
      <c r="B324" s="2" t="inlineStr">
        <is>
          <t>italienne</t>
        </is>
      </c>
      <c r="C324" s="2" t="inlineStr">
        <is>
          <t>sculpture</t>
        </is>
      </c>
      <c r="D324" s="2" t="inlineStr">
        <is>
          <t>15e</t>
        </is>
      </c>
      <c r="U324">
        <f>IF(ISNUMBER(SEARCH("fran",B324)),"France",IF(OR(ISNUMBER(SEARCH("italien",B324)),ISNUMBER(SEARCH("espagn",B324)),ISNUMBER(SEARCH("catalan",B324)),ISNUMBER(SEARCH("flamand",B324)),ISNUMBER(SEARCH("belge",B324)),ISNUMBER(SEARCH("hollandais",B324)),ISNUMBER(SEARCH("néerlandais",B324)),ISNUMBER(SEARCH("allemand",B324)),ISNUMBER(SEARCH("autrichien",B324)),ISNUMBER(SEARCH("suisse",B324)),ISNUMBER(SEARCH("anglais",B324)),ISNUMBER(SEARCH("britannique",B324)),ISNUMBER(SEARCH("écossais",B324)),ISNUMBER(SEARCH("irlandais",B324)),ISNUMBER(SEARCH("russe",B324)),ISNUMBER(SEARCH("portugais",B324)),ISNUMBER(SEARCH("danois",B324)),ISNUMBER(SEARCH("norvégien",B324)),ISNUMBER(SEARCH("suédois",B324)),ISNUMBER(SEARCH("finlandais",B324)),ISNUMBER(SEARCH("polonais",B324)),ISNUMBER(SEARCH("tchèque",B324)),ISNUMBER(SEARCH("hongrois",B324)),ISNUMBER(SEARCH("grec",B324)),ISNUMBER(SEARCH("byzantin",B324)),ISNUMBER(SEARCH("croate",B324)),ISNUMBER(SEARCH("ukrainien",B324)),ISNUMBER(SEARCH("bulgare",B324)),ISNUMBER(SEARCH("biélorusse",B324)),ISNUMBER(SEARCH("maltais",B324))),"Autres pays d'Europe",IF(OR(ISNUMBER(SEARCH("américain",B324)),ISNUMBER(SEARCH("mexicain",B324)),ISNUMBER(SEARCH("canadien",B324)),ISNUMBER(SEARCH("brésilien",B324)),ISNUMBER(SEARCH("argentin",B324))),"Amérique",IF(OR(ISNUMBER(SEARCH("chinois",B324)),ISNUMBER(SEARCH("japonais",B324)),ISNUMBER(SEARCH("coréen",B324)),ISNUMBER(SEARCH("indien",B324)),ISNUMBER(SEARCH("persan",B324)),ISNUMBER(SEARCH("iranien",B324))),"Asie","(non classée)"))))</f>
        <v/>
      </c>
    </row>
    <row r="325">
      <c r="A325" s="2" t="inlineStr">
        <is>
          <t>GUIDO RENI</t>
        </is>
      </c>
      <c r="B325" s="2" t="inlineStr">
        <is>
          <t>italienne</t>
        </is>
      </c>
      <c r="C325" s="2" t="inlineStr">
        <is>
          <t>peinture</t>
        </is>
      </c>
      <c r="D325" s="2" t="inlineStr">
        <is>
          <t>17e</t>
        </is>
      </c>
      <c r="U325">
        <f>IF(ISNUMBER(SEARCH("fran",B325)),"France",IF(OR(ISNUMBER(SEARCH("italien",B325)),ISNUMBER(SEARCH("espagn",B325)),ISNUMBER(SEARCH("catalan",B325)),ISNUMBER(SEARCH("flamand",B325)),ISNUMBER(SEARCH("belge",B325)),ISNUMBER(SEARCH("hollandais",B325)),ISNUMBER(SEARCH("néerlandais",B325)),ISNUMBER(SEARCH("allemand",B325)),ISNUMBER(SEARCH("autrichien",B325)),ISNUMBER(SEARCH("suisse",B325)),ISNUMBER(SEARCH("anglais",B325)),ISNUMBER(SEARCH("britannique",B325)),ISNUMBER(SEARCH("écossais",B325)),ISNUMBER(SEARCH("irlandais",B325)),ISNUMBER(SEARCH("russe",B325)),ISNUMBER(SEARCH("portugais",B325)),ISNUMBER(SEARCH("danois",B325)),ISNUMBER(SEARCH("norvégien",B325)),ISNUMBER(SEARCH("suédois",B325)),ISNUMBER(SEARCH("finlandais",B325)),ISNUMBER(SEARCH("polonais",B325)),ISNUMBER(SEARCH("tchèque",B325)),ISNUMBER(SEARCH("hongrois",B325)),ISNUMBER(SEARCH("grec",B325)),ISNUMBER(SEARCH("byzantin",B325)),ISNUMBER(SEARCH("croate",B325)),ISNUMBER(SEARCH("ukrainien",B325)),ISNUMBER(SEARCH("bulgare",B325)),ISNUMBER(SEARCH("biélorusse",B325)),ISNUMBER(SEARCH("maltais",B325))),"Autres pays d'Europe",IF(OR(ISNUMBER(SEARCH("américain",B325)),ISNUMBER(SEARCH("mexicain",B325)),ISNUMBER(SEARCH("canadien",B325)),ISNUMBER(SEARCH("brésilien",B325)),ISNUMBER(SEARCH("argentin",B325))),"Amérique",IF(OR(ISNUMBER(SEARCH("chinois",B325)),ISNUMBER(SEARCH("japonais",B325)),ISNUMBER(SEARCH("coréen",B325)),ISNUMBER(SEARCH("indien",B325)),ISNUMBER(SEARCH("persan",B325)),ISNUMBER(SEARCH("iranien",B325))),"Asie","(non classée)"))))</f>
        <v/>
      </c>
    </row>
    <row r="326">
      <c r="A326" s="2" t="inlineStr">
        <is>
          <t>GUILLAUME COUSTOU L'ANCIEN</t>
        </is>
      </c>
      <c r="B326" s="2" t="inlineStr">
        <is>
          <t>française</t>
        </is>
      </c>
      <c r="C326" s="2" t="inlineStr">
        <is>
          <t>sculpture</t>
        </is>
      </c>
      <c r="D326" s="2" t="inlineStr">
        <is>
          <t>18e</t>
        </is>
      </c>
      <c r="U326">
        <f>IF(ISNUMBER(SEARCH("fran",B326)),"France",IF(OR(ISNUMBER(SEARCH("italien",B326)),ISNUMBER(SEARCH("espagn",B326)),ISNUMBER(SEARCH("catalan",B326)),ISNUMBER(SEARCH("flamand",B326)),ISNUMBER(SEARCH("belge",B326)),ISNUMBER(SEARCH("hollandais",B326)),ISNUMBER(SEARCH("néerlandais",B326)),ISNUMBER(SEARCH("allemand",B326)),ISNUMBER(SEARCH("autrichien",B326)),ISNUMBER(SEARCH("suisse",B326)),ISNUMBER(SEARCH("anglais",B326)),ISNUMBER(SEARCH("britannique",B326)),ISNUMBER(SEARCH("écossais",B326)),ISNUMBER(SEARCH("irlandais",B326)),ISNUMBER(SEARCH("russe",B326)),ISNUMBER(SEARCH("portugais",B326)),ISNUMBER(SEARCH("danois",B326)),ISNUMBER(SEARCH("norvégien",B326)),ISNUMBER(SEARCH("suédois",B326)),ISNUMBER(SEARCH("finlandais",B326)),ISNUMBER(SEARCH("polonais",B326)),ISNUMBER(SEARCH("tchèque",B326)),ISNUMBER(SEARCH("hongrois",B326)),ISNUMBER(SEARCH("grec",B326)),ISNUMBER(SEARCH("byzantin",B326)),ISNUMBER(SEARCH("croate",B326)),ISNUMBER(SEARCH("ukrainien",B326)),ISNUMBER(SEARCH("bulgare",B326)),ISNUMBER(SEARCH("biélorusse",B326)),ISNUMBER(SEARCH("maltais",B326))),"Autres pays d'Europe",IF(OR(ISNUMBER(SEARCH("américain",B326)),ISNUMBER(SEARCH("mexicain",B326)),ISNUMBER(SEARCH("canadien",B326)),ISNUMBER(SEARCH("brésilien",B326)),ISNUMBER(SEARCH("argentin",B326))),"Amérique",IF(OR(ISNUMBER(SEARCH("chinois",B326)),ISNUMBER(SEARCH("japonais",B326)),ISNUMBER(SEARCH("coréen",B326)),ISNUMBER(SEARCH("indien",B326)),ISNUMBER(SEARCH("persan",B326)),ISNUMBER(SEARCH("iranien",B326))),"Asie","(non classée)"))))</f>
        <v/>
      </c>
    </row>
    <row r="327">
      <c r="A327" s="2" t="inlineStr">
        <is>
          <t>GUILLAUME COUSTOU LE JEUNE</t>
        </is>
      </c>
      <c r="B327" s="2" t="inlineStr">
        <is>
          <t>française</t>
        </is>
      </c>
      <c r="C327" s="2" t="inlineStr">
        <is>
          <t>sculpture</t>
        </is>
      </c>
      <c r="D327" s="2" t="inlineStr">
        <is>
          <t>18e</t>
        </is>
      </c>
      <c r="U327">
        <f>IF(ISNUMBER(SEARCH("fran",B327)),"France",IF(OR(ISNUMBER(SEARCH("italien",B327)),ISNUMBER(SEARCH("espagn",B327)),ISNUMBER(SEARCH("catalan",B327)),ISNUMBER(SEARCH("flamand",B327)),ISNUMBER(SEARCH("belge",B327)),ISNUMBER(SEARCH("hollandais",B327)),ISNUMBER(SEARCH("néerlandais",B327)),ISNUMBER(SEARCH("allemand",B327)),ISNUMBER(SEARCH("autrichien",B327)),ISNUMBER(SEARCH("suisse",B327)),ISNUMBER(SEARCH("anglais",B327)),ISNUMBER(SEARCH("britannique",B327)),ISNUMBER(SEARCH("écossais",B327)),ISNUMBER(SEARCH("irlandais",B327)),ISNUMBER(SEARCH("russe",B327)),ISNUMBER(SEARCH("portugais",B327)),ISNUMBER(SEARCH("danois",B327)),ISNUMBER(SEARCH("norvégien",B327)),ISNUMBER(SEARCH("suédois",B327)),ISNUMBER(SEARCH("finlandais",B327)),ISNUMBER(SEARCH("polonais",B327)),ISNUMBER(SEARCH("tchèque",B327)),ISNUMBER(SEARCH("hongrois",B327)),ISNUMBER(SEARCH("grec",B327)),ISNUMBER(SEARCH("byzantin",B327)),ISNUMBER(SEARCH("croate",B327)),ISNUMBER(SEARCH("ukrainien",B327)),ISNUMBER(SEARCH("bulgare",B327)),ISNUMBER(SEARCH("biélorusse",B327)),ISNUMBER(SEARCH("maltais",B327))),"Autres pays d'Europe",IF(OR(ISNUMBER(SEARCH("américain",B327)),ISNUMBER(SEARCH("mexicain",B327)),ISNUMBER(SEARCH("canadien",B327)),ISNUMBER(SEARCH("brésilien",B327)),ISNUMBER(SEARCH("argentin",B327))),"Amérique",IF(OR(ISNUMBER(SEARCH("chinois",B327)),ISNUMBER(SEARCH("japonais",B327)),ISNUMBER(SEARCH("coréen",B327)),ISNUMBER(SEARCH("indien",B327)),ISNUMBER(SEARCH("persan",B327)),ISNUMBER(SEARCH("iranien",B327))),"Asie","(non classée)"))))</f>
        <v/>
      </c>
    </row>
    <row r="328">
      <c r="A328" s="2" t="inlineStr">
        <is>
          <t>GUILLAUME GEEFS</t>
        </is>
      </c>
      <c r="B328" s="2" t="inlineStr">
        <is>
          <t>belge</t>
        </is>
      </c>
      <c r="C328" s="2" t="inlineStr">
        <is>
          <t>sculpture</t>
        </is>
      </c>
      <c r="D328" s="2" t="inlineStr">
        <is>
          <t>19e</t>
        </is>
      </c>
      <c r="U328">
        <f>IF(ISNUMBER(SEARCH("fran",B328)),"France",IF(OR(ISNUMBER(SEARCH("italien",B328)),ISNUMBER(SEARCH("espagn",B328)),ISNUMBER(SEARCH("catalan",B328)),ISNUMBER(SEARCH("flamand",B328)),ISNUMBER(SEARCH("belge",B328)),ISNUMBER(SEARCH("hollandais",B328)),ISNUMBER(SEARCH("néerlandais",B328)),ISNUMBER(SEARCH("allemand",B328)),ISNUMBER(SEARCH("autrichien",B328)),ISNUMBER(SEARCH("suisse",B328)),ISNUMBER(SEARCH("anglais",B328)),ISNUMBER(SEARCH("britannique",B328)),ISNUMBER(SEARCH("écossais",B328)),ISNUMBER(SEARCH("irlandais",B328)),ISNUMBER(SEARCH("russe",B328)),ISNUMBER(SEARCH("portugais",B328)),ISNUMBER(SEARCH("danois",B328)),ISNUMBER(SEARCH("norvégien",B328)),ISNUMBER(SEARCH("suédois",B328)),ISNUMBER(SEARCH("finlandais",B328)),ISNUMBER(SEARCH("polonais",B328)),ISNUMBER(SEARCH("tchèque",B328)),ISNUMBER(SEARCH("hongrois",B328)),ISNUMBER(SEARCH("grec",B328)),ISNUMBER(SEARCH("byzantin",B328)),ISNUMBER(SEARCH("croate",B328)),ISNUMBER(SEARCH("ukrainien",B328)),ISNUMBER(SEARCH("bulgare",B328)),ISNUMBER(SEARCH("biélorusse",B328)),ISNUMBER(SEARCH("maltais",B328))),"Autres pays d'Europe",IF(OR(ISNUMBER(SEARCH("américain",B328)),ISNUMBER(SEARCH("mexicain",B328)),ISNUMBER(SEARCH("canadien",B328)),ISNUMBER(SEARCH("brésilien",B328)),ISNUMBER(SEARCH("argentin",B328))),"Amérique",IF(OR(ISNUMBER(SEARCH("chinois",B328)),ISNUMBER(SEARCH("japonais",B328)),ISNUMBER(SEARCH("coréen",B328)),ISNUMBER(SEARCH("indien",B328)),ISNUMBER(SEARCH("persan",B328)),ISNUMBER(SEARCH("iranien",B328))),"Asie","(non classée)"))))</f>
        <v/>
      </c>
    </row>
    <row r="329">
      <c r="A329" s="2" t="inlineStr">
        <is>
          <t>GUSTAV KLIMT</t>
        </is>
      </c>
      <c r="B329" s="2" t="inlineStr">
        <is>
          <t>autrichienne</t>
        </is>
      </c>
      <c r="C329" s="2" t="inlineStr">
        <is>
          <t>peinture</t>
        </is>
      </c>
      <c r="D329" s="2" t="inlineStr">
        <is>
          <t>20e</t>
        </is>
      </c>
      <c r="U329">
        <f>IF(ISNUMBER(SEARCH("fran",B329)),"France",IF(OR(ISNUMBER(SEARCH("italien",B329)),ISNUMBER(SEARCH("espagn",B329)),ISNUMBER(SEARCH("catalan",B329)),ISNUMBER(SEARCH("flamand",B329)),ISNUMBER(SEARCH("belge",B329)),ISNUMBER(SEARCH("hollandais",B329)),ISNUMBER(SEARCH("néerlandais",B329)),ISNUMBER(SEARCH("allemand",B329)),ISNUMBER(SEARCH("autrichien",B329)),ISNUMBER(SEARCH("suisse",B329)),ISNUMBER(SEARCH("anglais",B329)),ISNUMBER(SEARCH("britannique",B329)),ISNUMBER(SEARCH("écossais",B329)),ISNUMBER(SEARCH("irlandais",B329)),ISNUMBER(SEARCH("russe",B329)),ISNUMBER(SEARCH("portugais",B329)),ISNUMBER(SEARCH("danois",B329)),ISNUMBER(SEARCH("norvégien",B329)),ISNUMBER(SEARCH("suédois",B329)),ISNUMBER(SEARCH("finlandais",B329)),ISNUMBER(SEARCH("polonais",B329)),ISNUMBER(SEARCH("tchèque",B329)),ISNUMBER(SEARCH("hongrois",B329)),ISNUMBER(SEARCH("grec",B329)),ISNUMBER(SEARCH("byzantin",B329)),ISNUMBER(SEARCH("croate",B329)),ISNUMBER(SEARCH("ukrainien",B329)),ISNUMBER(SEARCH("bulgare",B329)),ISNUMBER(SEARCH("biélorusse",B329)),ISNUMBER(SEARCH("maltais",B329))),"Autres pays d'Europe",IF(OR(ISNUMBER(SEARCH("américain",B329)),ISNUMBER(SEARCH("mexicain",B329)),ISNUMBER(SEARCH("canadien",B329)),ISNUMBER(SEARCH("brésilien",B329)),ISNUMBER(SEARCH("argentin",B329))),"Amérique",IF(OR(ISNUMBER(SEARCH("chinois",B329)),ISNUMBER(SEARCH("japonais",B329)),ISNUMBER(SEARCH("coréen",B329)),ISNUMBER(SEARCH("indien",B329)),ISNUMBER(SEARCH("persan",B329)),ISNUMBER(SEARCH("iranien",B329))),"Asie","(non classée)"))))</f>
        <v/>
      </c>
    </row>
    <row r="330">
      <c r="A330" s="2" t="inlineStr">
        <is>
          <t>GUSTAVE CAILLEBOTTE</t>
        </is>
      </c>
      <c r="B330" s="2" t="inlineStr">
        <is>
          <t>française</t>
        </is>
      </c>
      <c r="C330" s="2" t="inlineStr">
        <is>
          <t>peinture</t>
        </is>
      </c>
      <c r="D330" s="2" t="inlineStr">
        <is>
          <t>19e</t>
        </is>
      </c>
      <c r="U330">
        <f>IF(ISNUMBER(SEARCH("fran",B330)),"France",IF(OR(ISNUMBER(SEARCH("italien",B330)),ISNUMBER(SEARCH("espagn",B330)),ISNUMBER(SEARCH("catalan",B330)),ISNUMBER(SEARCH("flamand",B330)),ISNUMBER(SEARCH("belge",B330)),ISNUMBER(SEARCH("hollandais",B330)),ISNUMBER(SEARCH("néerlandais",B330)),ISNUMBER(SEARCH("allemand",B330)),ISNUMBER(SEARCH("autrichien",B330)),ISNUMBER(SEARCH("suisse",B330)),ISNUMBER(SEARCH("anglais",B330)),ISNUMBER(SEARCH("britannique",B330)),ISNUMBER(SEARCH("écossais",B330)),ISNUMBER(SEARCH("irlandais",B330)),ISNUMBER(SEARCH("russe",B330)),ISNUMBER(SEARCH("portugais",B330)),ISNUMBER(SEARCH("danois",B330)),ISNUMBER(SEARCH("norvégien",B330)),ISNUMBER(SEARCH("suédois",B330)),ISNUMBER(SEARCH("finlandais",B330)),ISNUMBER(SEARCH("polonais",B330)),ISNUMBER(SEARCH("tchèque",B330)),ISNUMBER(SEARCH("hongrois",B330)),ISNUMBER(SEARCH("grec",B330)),ISNUMBER(SEARCH("byzantin",B330)),ISNUMBER(SEARCH("croate",B330)),ISNUMBER(SEARCH("ukrainien",B330)),ISNUMBER(SEARCH("bulgare",B330)),ISNUMBER(SEARCH("biélorusse",B330)),ISNUMBER(SEARCH("maltais",B330))),"Autres pays d'Europe",IF(OR(ISNUMBER(SEARCH("américain",B330)),ISNUMBER(SEARCH("mexicain",B330)),ISNUMBER(SEARCH("canadien",B330)),ISNUMBER(SEARCH("brésilien",B330)),ISNUMBER(SEARCH("argentin",B330))),"Amérique",IF(OR(ISNUMBER(SEARCH("chinois",B330)),ISNUMBER(SEARCH("japonais",B330)),ISNUMBER(SEARCH("coréen",B330)),ISNUMBER(SEARCH("indien",B330)),ISNUMBER(SEARCH("persan",B330)),ISNUMBER(SEARCH("iranien",B330))),"Asie","(non classée)"))))</f>
        <v/>
      </c>
    </row>
    <row r="331">
      <c r="A331" s="2" t="inlineStr">
        <is>
          <t>GUSTAVE COURBET</t>
        </is>
      </c>
      <c r="B331" s="2" t="inlineStr">
        <is>
          <t>française</t>
        </is>
      </c>
      <c r="C331" s="2" t="inlineStr">
        <is>
          <t>peinture</t>
        </is>
      </c>
      <c r="D331" s="2" t="inlineStr">
        <is>
          <t>19e</t>
        </is>
      </c>
      <c r="U331">
        <f>IF(ISNUMBER(SEARCH("fran",B331)),"France",IF(OR(ISNUMBER(SEARCH("italien",B331)),ISNUMBER(SEARCH("espagn",B331)),ISNUMBER(SEARCH("catalan",B331)),ISNUMBER(SEARCH("flamand",B331)),ISNUMBER(SEARCH("belge",B331)),ISNUMBER(SEARCH("hollandais",B331)),ISNUMBER(SEARCH("néerlandais",B331)),ISNUMBER(SEARCH("allemand",B331)),ISNUMBER(SEARCH("autrichien",B331)),ISNUMBER(SEARCH("suisse",B331)),ISNUMBER(SEARCH("anglais",B331)),ISNUMBER(SEARCH("britannique",B331)),ISNUMBER(SEARCH("écossais",B331)),ISNUMBER(SEARCH("irlandais",B331)),ISNUMBER(SEARCH("russe",B331)),ISNUMBER(SEARCH("portugais",B331)),ISNUMBER(SEARCH("danois",B331)),ISNUMBER(SEARCH("norvégien",B331)),ISNUMBER(SEARCH("suédois",B331)),ISNUMBER(SEARCH("finlandais",B331)),ISNUMBER(SEARCH("polonais",B331)),ISNUMBER(SEARCH("tchèque",B331)),ISNUMBER(SEARCH("hongrois",B331)),ISNUMBER(SEARCH("grec",B331)),ISNUMBER(SEARCH("byzantin",B331)),ISNUMBER(SEARCH("croate",B331)),ISNUMBER(SEARCH("ukrainien",B331)),ISNUMBER(SEARCH("bulgare",B331)),ISNUMBER(SEARCH("biélorusse",B331)),ISNUMBER(SEARCH("maltais",B331))),"Autres pays d'Europe",IF(OR(ISNUMBER(SEARCH("américain",B331)),ISNUMBER(SEARCH("mexicain",B331)),ISNUMBER(SEARCH("canadien",B331)),ISNUMBER(SEARCH("brésilien",B331)),ISNUMBER(SEARCH("argentin",B331))),"Amérique",IF(OR(ISNUMBER(SEARCH("chinois",B331)),ISNUMBER(SEARCH("japonais",B331)),ISNUMBER(SEARCH("coréen",B331)),ISNUMBER(SEARCH("indien",B331)),ISNUMBER(SEARCH("persan",B331)),ISNUMBER(SEARCH("iranien",B331))),"Asie","(non classée)"))))</f>
        <v/>
      </c>
    </row>
    <row r="332">
      <c r="A332" s="2" t="inlineStr">
        <is>
          <t>GUSTAVE CRAUK</t>
        </is>
      </c>
      <c r="B332" s="2" t="inlineStr">
        <is>
          <t>française</t>
        </is>
      </c>
      <c r="C332" s="2" t="inlineStr">
        <is>
          <t>sculpture</t>
        </is>
      </c>
      <c r="D332" s="2" t="inlineStr">
        <is>
          <t>19e</t>
        </is>
      </c>
      <c r="U332">
        <f>IF(ISNUMBER(SEARCH("fran",B332)),"France",IF(OR(ISNUMBER(SEARCH("italien",B332)),ISNUMBER(SEARCH("espagn",B332)),ISNUMBER(SEARCH("catalan",B332)),ISNUMBER(SEARCH("flamand",B332)),ISNUMBER(SEARCH("belge",B332)),ISNUMBER(SEARCH("hollandais",B332)),ISNUMBER(SEARCH("néerlandais",B332)),ISNUMBER(SEARCH("allemand",B332)),ISNUMBER(SEARCH("autrichien",B332)),ISNUMBER(SEARCH("suisse",B332)),ISNUMBER(SEARCH("anglais",B332)),ISNUMBER(SEARCH("britannique",B332)),ISNUMBER(SEARCH("écossais",B332)),ISNUMBER(SEARCH("irlandais",B332)),ISNUMBER(SEARCH("russe",B332)),ISNUMBER(SEARCH("portugais",B332)),ISNUMBER(SEARCH("danois",B332)),ISNUMBER(SEARCH("norvégien",B332)),ISNUMBER(SEARCH("suédois",B332)),ISNUMBER(SEARCH("finlandais",B332)),ISNUMBER(SEARCH("polonais",B332)),ISNUMBER(SEARCH("tchèque",B332)),ISNUMBER(SEARCH("hongrois",B332)),ISNUMBER(SEARCH("grec",B332)),ISNUMBER(SEARCH("byzantin",B332)),ISNUMBER(SEARCH("croate",B332)),ISNUMBER(SEARCH("ukrainien",B332)),ISNUMBER(SEARCH("bulgare",B332)),ISNUMBER(SEARCH("biélorusse",B332)),ISNUMBER(SEARCH("maltais",B332))),"Autres pays d'Europe",IF(OR(ISNUMBER(SEARCH("américain",B332)),ISNUMBER(SEARCH("mexicain",B332)),ISNUMBER(SEARCH("canadien",B332)),ISNUMBER(SEARCH("brésilien",B332)),ISNUMBER(SEARCH("argentin",B332))),"Amérique",IF(OR(ISNUMBER(SEARCH("chinois",B332)),ISNUMBER(SEARCH("japonais",B332)),ISNUMBER(SEARCH("coréen",B332)),ISNUMBER(SEARCH("indien",B332)),ISNUMBER(SEARCH("persan",B332)),ISNUMBER(SEARCH("iranien",B332))),"Asie","(non classée)"))))</f>
        <v/>
      </c>
    </row>
    <row r="333">
      <c r="A333" s="2" t="inlineStr">
        <is>
          <t>GUSTAVE DORÉ</t>
        </is>
      </c>
      <c r="B333" s="2" t="inlineStr">
        <is>
          <t>française</t>
        </is>
      </c>
      <c r="C333" s="2" t="inlineStr">
        <is>
          <t>sculpture</t>
        </is>
      </c>
      <c r="D333" s="2" t="inlineStr">
        <is>
          <t>19e</t>
        </is>
      </c>
      <c r="U333">
        <f>IF(ISNUMBER(SEARCH("fran",B333)),"France",IF(OR(ISNUMBER(SEARCH("italien",B333)),ISNUMBER(SEARCH("espagn",B333)),ISNUMBER(SEARCH("catalan",B333)),ISNUMBER(SEARCH("flamand",B333)),ISNUMBER(SEARCH("belge",B333)),ISNUMBER(SEARCH("hollandais",B333)),ISNUMBER(SEARCH("néerlandais",B333)),ISNUMBER(SEARCH("allemand",B333)),ISNUMBER(SEARCH("autrichien",B333)),ISNUMBER(SEARCH("suisse",B333)),ISNUMBER(SEARCH("anglais",B333)),ISNUMBER(SEARCH("britannique",B333)),ISNUMBER(SEARCH("écossais",B333)),ISNUMBER(SEARCH("irlandais",B333)),ISNUMBER(SEARCH("russe",B333)),ISNUMBER(SEARCH("portugais",B333)),ISNUMBER(SEARCH("danois",B333)),ISNUMBER(SEARCH("norvégien",B333)),ISNUMBER(SEARCH("suédois",B333)),ISNUMBER(SEARCH("finlandais",B333)),ISNUMBER(SEARCH("polonais",B333)),ISNUMBER(SEARCH("tchèque",B333)),ISNUMBER(SEARCH("hongrois",B333)),ISNUMBER(SEARCH("grec",B333)),ISNUMBER(SEARCH("byzantin",B333)),ISNUMBER(SEARCH("croate",B333)),ISNUMBER(SEARCH("ukrainien",B333)),ISNUMBER(SEARCH("bulgare",B333)),ISNUMBER(SEARCH("biélorusse",B333)),ISNUMBER(SEARCH("maltais",B333))),"Autres pays d'Europe",IF(OR(ISNUMBER(SEARCH("américain",B333)),ISNUMBER(SEARCH("mexicain",B333)),ISNUMBER(SEARCH("canadien",B333)),ISNUMBER(SEARCH("brésilien",B333)),ISNUMBER(SEARCH("argentin",B333))),"Amérique",IF(OR(ISNUMBER(SEARCH("chinois",B333)),ISNUMBER(SEARCH("japonais",B333)),ISNUMBER(SEARCH("coréen",B333)),ISNUMBER(SEARCH("indien",B333)),ISNUMBER(SEARCH("persan",B333)),ISNUMBER(SEARCH("iranien",B333))),"Asie","(non classée)"))))</f>
        <v/>
      </c>
    </row>
    <row r="334">
      <c r="A334" s="2" t="inlineStr">
        <is>
          <t>GUSTAVE MOREAU</t>
        </is>
      </c>
      <c r="B334" s="2" t="inlineStr">
        <is>
          <t>française</t>
        </is>
      </c>
      <c r="C334" s="2" t="inlineStr">
        <is>
          <t>peinture</t>
        </is>
      </c>
      <c r="D334" s="2" t="inlineStr">
        <is>
          <t>19e</t>
        </is>
      </c>
      <c r="U334">
        <f>IF(ISNUMBER(SEARCH("fran",B334)),"France",IF(OR(ISNUMBER(SEARCH("italien",B334)),ISNUMBER(SEARCH("espagn",B334)),ISNUMBER(SEARCH("catalan",B334)),ISNUMBER(SEARCH("flamand",B334)),ISNUMBER(SEARCH("belge",B334)),ISNUMBER(SEARCH("hollandais",B334)),ISNUMBER(SEARCH("néerlandais",B334)),ISNUMBER(SEARCH("allemand",B334)),ISNUMBER(SEARCH("autrichien",B334)),ISNUMBER(SEARCH("suisse",B334)),ISNUMBER(SEARCH("anglais",B334)),ISNUMBER(SEARCH("britannique",B334)),ISNUMBER(SEARCH("écossais",B334)),ISNUMBER(SEARCH("irlandais",B334)),ISNUMBER(SEARCH("russe",B334)),ISNUMBER(SEARCH("portugais",B334)),ISNUMBER(SEARCH("danois",B334)),ISNUMBER(SEARCH("norvégien",B334)),ISNUMBER(SEARCH("suédois",B334)),ISNUMBER(SEARCH("finlandais",B334)),ISNUMBER(SEARCH("polonais",B334)),ISNUMBER(SEARCH("tchèque",B334)),ISNUMBER(SEARCH("hongrois",B334)),ISNUMBER(SEARCH("grec",B334)),ISNUMBER(SEARCH("byzantin",B334)),ISNUMBER(SEARCH("croate",B334)),ISNUMBER(SEARCH("ukrainien",B334)),ISNUMBER(SEARCH("bulgare",B334)),ISNUMBER(SEARCH("biélorusse",B334)),ISNUMBER(SEARCH("maltais",B334))),"Autres pays d'Europe",IF(OR(ISNUMBER(SEARCH("américain",B334)),ISNUMBER(SEARCH("mexicain",B334)),ISNUMBER(SEARCH("canadien",B334)),ISNUMBER(SEARCH("brésilien",B334)),ISNUMBER(SEARCH("argentin",B334))),"Amérique",IF(OR(ISNUMBER(SEARCH("chinois",B334)),ISNUMBER(SEARCH("japonais",B334)),ISNUMBER(SEARCH("coréen",B334)),ISNUMBER(SEARCH("indien",B334)),ISNUMBER(SEARCH("persan",B334)),ISNUMBER(SEARCH("iranien",B334))),"Asie","(non classée)"))))</f>
        <v/>
      </c>
    </row>
    <row r="335">
      <c r="A335" s="2" t="inlineStr">
        <is>
          <t>GUTZON BORGLUM</t>
        </is>
      </c>
      <c r="B335" s="2" t="inlineStr">
        <is>
          <t>américaine</t>
        </is>
      </c>
      <c r="C335" s="2" t="inlineStr">
        <is>
          <t>sculpture</t>
        </is>
      </c>
      <c r="D335" s="2" t="inlineStr">
        <is>
          <t>20e</t>
        </is>
      </c>
      <c r="U335">
        <f>IF(ISNUMBER(SEARCH("fran",B335)),"France",IF(OR(ISNUMBER(SEARCH("italien",B335)),ISNUMBER(SEARCH("espagn",B335)),ISNUMBER(SEARCH("catalan",B335)),ISNUMBER(SEARCH("flamand",B335)),ISNUMBER(SEARCH("belge",B335)),ISNUMBER(SEARCH("hollandais",B335)),ISNUMBER(SEARCH("néerlandais",B335)),ISNUMBER(SEARCH("allemand",B335)),ISNUMBER(SEARCH("autrichien",B335)),ISNUMBER(SEARCH("suisse",B335)),ISNUMBER(SEARCH("anglais",B335)),ISNUMBER(SEARCH("britannique",B335)),ISNUMBER(SEARCH("écossais",B335)),ISNUMBER(SEARCH("irlandais",B335)),ISNUMBER(SEARCH("russe",B335)),ISNUMBER(SEARCH("portugais",B335)),ISNUMBER(SEARCH("danois",B335)),ISNUMBER(SEARCH("norvégien",B335)),ISNUMBER(SEARCH("suédois",B335)),ISNUMBER(SEARCH("finlandais",B335)),ISNUMBER(SEARCH("polonais",B335)),ISNUMBER(SEARCH("tchèque",B335)),ISNUMBER(SEARCH("hongrois",B335)),ISNUMBER(SEARCH("grec",B335)),ISNUMBER(SEARCH("byzantin",B335)),ISNUMBER(SEARCH("croate",B335)),ISNUMBER(SEARCH("ukrainien",B335)),ISNUMBER(SEARCH("bulgare",B335)),ISNUMBER(SEARCH("biélorusse",B335)),ISNUMBER(SEARCH("maltais",B335))),"Autres pays d'Europe",IF(OR(ISNUMBER(SEARCH("américain",B335)),ISNUMBER(SEARCH("mexicain",B335)),ISNUMBER(SEARCH("canadien",B335)),ISNUMBER(SEARCH("brésilien",B335)),ISNUMBER(SEARCH("argentin",B335))),"Amérique",IF(OR(ISNUMBER(SEARCH("chinois",B335)),ISNUMBER(SEARCH("japonais",B335)),ISNUMBER(SEARCH("coréen",B335)),ISNUMBER(SEARCH("indien",B335)),ISNUMBER(SEARCH("persan",B335)),ISNUMBER(SEARCH("iranien",B335))),"Asie","(non classée)"))))</f>
        <v/>
      </c>
    </row>
    <row r="336">
      <c r="A336" s="2" t="inlineStr">
        <is>
          <t>GWEN JOHN</t>
        </is>
      </c>
      <c r="B336" s="2" t="inlineStr">
        <is>
          <t>anglaise (Royaume-Uni)</t>
        </is>
      </c>
      <c r="C336" s="2" t="inlineStr">
        <is>
          <t>peinture</t>
        </is>
      </c>
      <c r="D336" s="2" t="inlineStr">
        <is>
          <t>20e</t>
        </is>
      </c>
      <c r="U336">
        <f>IF(ISNUMBER(SEARCH("fran",B336)),"France",IF(OR(ISNUMBER(SEARCH("italien",B336)),ISNUMBER(SEARCH("espagn",B336)),ISNUMBER(SEARCH("catalan",B336)),ISNUMBER(SEARCH("flamand",B336)),ISNUMBER(SEARCH("belge",B336)),ISNUMBER(SEARCH("hollandais",B336)),ISNUMBER(SEARCH("néerlandais",B336)),ISNUMBER(SEARCH("allemand",B336)),ISNUMBER(SEARCH("autrichien",B336)),ISNUMBER(SEARCH("suisse",B336)),ISNUMBER(SEARCH("anglais",B336)),ISNUMBER(SEARCH("britannique",B336)),ISNUMBER(SEARCH("écossais",B336)),ISNUMBER(SEARCH("irlandais",B336)),ISNUMBER(SEARCH("russe",B336)),ISNUMBER(SEARCH("portugais",B336)),ISNUMBER(SEARCH("danois",B336)),ISNUMBER(SEARCH("norvégien",B336)),ISNUMBER(SEARCH("suédois",B336)),ISNUMBER(SEARCH("finlandais",B336)),ISNUMBER(SEARCH("polonais",B336)),ISNUMBER(SEARCH("tchèque",B336)),ISNUMBER(SEARCH("hongrois",B336)),ISNUMBER(SEARCH("grec",B336)),ISNUMBER(SEARCH("byzantin",B336)),ISNUMBER(SEARCH("croate",B336)),ISNUMBER(SEARCH("ukrainien",B336)),ISNUMBER(SEARCH("bulgare",B336)),ISNUMBER(SEARCH("biélorusse",B336)),ISNUMBER(SEARCH("maltais",B336))),"Autres pays d'Europe",IF(OR(ISNUMBER(SEARCH("américain",B336)),ISNUMBER(SEARCH("mexicain",B336)),ISNUMBER(SEARCH("canadien",B336)),ISNUMBER(SEARCH("brésilien",B336)),ISNUMBER(SEARCH("argentin",B336))),"Amérique",IF(OR(ISNUMBER(SEARCH("chinois",B336)),ISNUMBER(SEARCH("japonais",B336)),ISNUMBER(SEARCH("coréen",B336)),ISNUMBER(SEARCH("indien",B336)),ISNUMBER(SEARCH("persan",B336)),ISNUMBER(SEARCH("iranien",B336))),"Asie","(non classée)"))))</f>
        <v/>
      </c>
    </row>
    <row r="337">
      <c r="A337" s="2" t="inlineStr">
        <is>
          <t>HAMO THORNYCROFT</t>
        </is>
      </c>
      <c r="B337" s="2" t="inlineStr">
        <is>
          <t>anglaise (Royaume-Uni)</t>
        </is>
      </c>
      <c r="C337" s="2" t="inlineStr">
        <is>
          <t>sculpture</t>
        </is>
      </c>
      <c r="D337" s="2" t="inlineStr">
        <is>
          <t>19e</t>
        </is>
      </c>
      <c r="U337">
        <f>IF(ISNUMBER(SEARCH("fran",B337)),"France",IF(OR(ISNUMBER(SEARCH("italien",B337)),ISNUMBER(SEARCH("espagn",B337)),ISNUMBER(SEARCH("catalan",B337)),ISNUMBER(SEARCH("flamand",B337)),ISNUMBER(SEARCH("belge",B337)),ISNUMBER(SEARCH("hollandais",B337)),ISNUMBER(SEARCH("néerlandais",B337)),ISNUMBER(SEARCH("allemand",B337)),ISNUMBER(SEARCH("autrichien",B337)),ISNUMBER(SEARCH("suisse",B337)),ISNUMBER(SEARCH("anglais",B337)),ISNUMBER(SEARCH("britannique",B337)),ISNUMBER(SEARCH("écossais",B337)),ISNUMBER(SEARCH("irlandais",B337)),ISNUMBER(SEARCH("russe",B337)),ISNUMBER(SEARCH("portugais",B337)),ISNUMBER(SEARCH("danois",B337)),ISNUMBER(SEARCH("norvégien",B337)),ISNUMBER(SEARCH("suédois",B337)),ISNUMBER(SEARCH("finlandais",B337)),ISNUMBER(SEARCH("polonais",B337)),ISNUMBER(SEARCH("tchèque",B337)),ISNUMBER(SEARCH("hongrois",B337)),ISNUMBER(SEARCH("grec",B337)),ISNUMBER(SEARCH("byzantin",B337)),ISNUMBER(SEARCH("croate",B337)),ISNUMBER(SEARCH("ukrainien",B337)),ISNUMBER(SEARCH("bulgare",B337)),ISNUMBER(SEARCH("biélorusse",B337)),ISNUMBER(SEARCH("maltais",B337))),"Autres pays d'Europe",IF(OR(ISNUMBER(SEARCH("américain",B337)),ISNUMBER(SEARCH("mexicain",B337)),ISNUMBER(SEARCH("canadien",B337)),ISNUMBER(SEARCH("brésilien",B337)),ISNUMBER(SEARCH("argentin",B337))),"Amérique",IF(OR(ISNUMBER(SEARCH("chinois",B337)),ISNUMBER(SEARCH("japonais",B337)),ISNUMBER(SEARCH("coréen",B337)),ISNUMBER(SEARCH("indien",B337)),ISNUMBER(SEARCH("persan",B337)),ISNUMBER(SEARCH("iranien",B337))),"Asie","(non classée)"))))</f>
        <v/>
      </c>
    </row>
    <row r="338">
      <c r="A338" s="2" t="inlineStr">
        <is>
          <t>HANS BALDUNG GRIEN</t>
        </is>
      </c>
      <c r="B338" s="2" t="inlineStr">
        <is>
          <t>allemande</t>
        </is>
      </c>
      <c r="C338" s="2" t="inlineStr">
        <is>
          <t>peinture</t>
        </is>
      </c>
      <c r="D338" s="2" t="inlineStr">
        <is>
          <t>16e</t>
        </is>
      </c>
      <c r="U338">
        <f>IF(ISNUMBER(SEARCH("fran",B338)),"France",IF(OR(ISNUMBER(SEARCH("italien",B338)),ISNUMBER(SEARCH("espagn",B338)),ISNUMBER(SEARCH("catalan",B338)),ISNUMBER(SEARCH("flamand",B338)),ISNUMBER(SEARCH("belge",B338)),ISNUMBER(SEARCH("hollandais",B338)),ISNUMBER(SEARCH("néerlandais",B338)),ISNUMBER(SEARCH("allemand",B338)),ISNUMBER(SEARCH("autrichien",B338)),ISNUMBER(SEARCH("suisse",B338)),ISNUMBER(SEARCH("anglais",B338)),ISNUMBER(SEARCH("britannique",B338)),ISNUMBER(SEARCH("écossais",B338)),ISNUMBER(SEARCH("irlandais",B338)),ISNUMBER(SEARCH("russe",B338)),ISNUMBER(SEARCH("portugais",B338)),ISNUMBER(SEARCH("danois",B338)),ISNUMBER(SEARCH("norvégien",B338)),ISNUMBER(SEARCH("suédois",B338)),ISNUMBER(SEARCH("finlandais",B338)),ISNUMBER(SEARCH("polonais",B338)),ISNUMBER(SEARCH("tchèque",B338)),ISNUMBER(SEARCH("hongrois",B338)),ISNUMBER(SEARCH("grec",B338)),ISNUMBER(SEARCH("byzantin",B338)),ISNUMBER(SEARCH("croate",B338)),ISNUMBER(SEARCH("ukrainien",B338)),ISNUMBER(SEARCH("bulgare",B338)),ISNUMBER(SEARCH("biélorusse",B338)),ISNUMBER(SEARCH("maltais",B338))),"Autres pays d'Europe",IF(OR(ISNUMBER(SEARCH("américain",B338)),ISNUMBER(SEARCH("mexicain",B338)),ISNUMBER(SEARCH("canadien",B338)),ISNUMBER(SEARCH("brésilien",B338)),ISNUMBER(SEARCH("argentin",B338))),"Amérique",IF(OR(ISNUMBER(SEARCH("chinois",B338)),ISNUMBER(SEARCH("japonais",B338)),ISNUMBER(SEARCH("coréen",B338)),ISNUMBER(SEARCH("indien",B338)),ISNUMBER(SEARCH("persan",B338)),ISNUMBER(SEARCH("iranien",B338))),"Asie","(non classée)"))))</f>
        <v/>
      </c>
    </row>
    <row r="339">
      <c r="A339" s="2" t="inlineStr">
        <is>
          <t>HANS BRÜGGEMANN</t>
        </is>
      </c>
      <c r="B339" s="2" t="inlineStr">
        <is>
          <t>allemande</t>
        </is>
      </c>
      <c r="C339" s="2" t="inlineStr">
        <is>
          <t>sculpture</t>
        </is>
      </c>
      <c r="D339" s="2" t="inlineStr">
        <is>
          <t>16e</t>
        </is>
      </c>
      <c r="U339">
        <f>IF(ISNUMBER(SEARCH("fran",B339)),"France",IF(OR(ISNUMBER(SEARCH("italien",B339)),ISNUMBER(SEARCH("espagn",B339)),ISNUMBER(SEARCH("catalan",B339)),ISNUMBER(SEARCH("flamand",B339)),ISNUMBER(SEARCH("belge",B339)),ISNUMBER(SEARCH("hollandais",B339)),ISNUMBER(SEARCH("néerlandais",B339)),ISNUMBER(SEARCH("allemand",B339)),ISNUMBER(SEARCH("autrichien",B339)),ISNUMBER(SEARCH("suisse",B339)),ISNUMBER(SEARCH("anglais",B339)),ISNUMBER(SEARCH("britannique",B339)),ISNUMBER(SEARCH("écossais",B339)),ISNUMBER(SEARCH("irlandais",B339)),ISNUMBER(SEARCH("russe",B339)),ISNUMBER(SEARCH("portugais",B339)),ISNUMBER(SEARCH("danois",B339)),ISNUMBER(SEARCH("norvégien",B339)),ISNUMBER(SEARCH("suédois",B339)),ISNUMBER(SEARCH("finlandais",B339)),ISNUMBER(SEARCH("polonais",B339)),ISNUMBER(SEARCH("tchèque",B339)),ISNUMBER(SEARCH("hongrois",B339)),ISNUMBER(SEARCH("grec",B339)),ISNUMBER(SEARCH("byzantin",B339)),ISNUMBER(SEARCH("croate",B339)),ISNUMBER(SEARCH("ukrainien",B339)),ISNUMBER(SEARCH("bulgare",B339)),ISNUMBER(SEARCH("biélorusse",B339)),ISNUMBER(SEARCH("maltais",B339))),"Autres pays d'Europe",IF(OR(ISNUMBER(SEARCH("américain",B339)),ISNUMBER(SEARCH("mexicain",B339)),ISNUMBER(SEARCH("canadien",B339)),ISNUMBER(SEARCH("brésilien",B339)),ISNUMBER(SEARCH("argentin",B339))),"Amérique",IF(OR(ISNUMBER(SEARCH("chinois",B339)),ISNUMBER(SEARCH("japonais",B339)),ISNUMBER(SEARCH("coréen",B339)),ISNUMBER(SEARCH("indien",B339)),ISNUMBER(SEARCH("persan",B339)),ISNUMBER(SEARCH("iranien",B339))),"Asie","(non classée)"))))</f>
        <v/>
      </c>
    </row>
    <row r="340">
      <c r="A340" s="2" t="inlineStr">
        <is>
          <t>HANS DAUCHER</t>
        </is>
      </c>
      <c r="B340" s="2" t="inlineStr">
        <is>
          <t>allemande</t>
        </is>
      </c>
      <c r="C340" s="2" t="inlineStr">
        <is>
          <t>sculpture</t>
        </is>
      </c>
      <c r="D340" s="2" t="inlineStr">
        <is>
          <t>16e</t>
        </is>
      </c>
      <c r="U340">
        <f>IF(ISNUMBER(SEARCH("fran",B340)),"France",IF(OR(ISNUMBER(SEARCH("italien",B340)),ISNUMBER(SEARCH("espagn",B340)),ISNUMBER(SEARCH("catalan",B340)),ISNUMBER(SEARCH("flamand",B340)),ISNUMBER(SEARCH("belge",B340)),ISNUMBER(SEARCH("hollandais",B340)),ISNUMBER(SEARCH("néerlandais",B340)),ISNUMBER(SEARCH("allemand",B340)),ISNUMBER(SEARCH("autrichien",B340)),ISNUMBER(SEARCH("suisse",B340)),ISNUMBER(SEARCH("anglais",B340)),ISNUMBER(SEARCH("britannique",B340)),ISNUMBER(SEARCH("écossais",B340)),ISNUMBER(SEARCH("irlandais",B340)),ISNUMBER(SEARCH("russe",B340)),ISNUMBER(SEARCH("portugais",B340)),ISNUMBER(SEARCH("danois",B340)),ISNUMBER(SEARCH("norvégien",B340)),ISNUMBER(SEARCH("suédois",B340)),ISNUMBER(SEARCH("finlandais",B340)),ISNUMBER(SEARCH("polonais",B340)),ISNUMBER(SEARCH("tchèque",B340)),ISNUMBER(SEARCH("hongrois",B340)),ISNUMBER(SEARCH("grec",B340)),ISNUMBER(SEARCH("byzantin",B340)),ISNUMBER(SEARCH("croate",B340)),ISNUMBER(SEARCH("ukrainien",B340)),ISNUMBER(SEARCH("bulgare",B340)),ISNUMBER(SEARCH("biélorusse",B340)),ISNUMBER(SEARCH("maltais",B340))),"Autres pays d'Europe",IF(OR(ISNUMBER(SEARCH("américain",B340)),ISNUMBER(SEARCH("mexicain",B340)),ISNUMBER(SEARCH("canadien",B340)),ISNUMBER(SEARCH("brésilien",B340)),ISNUMBER(SEARCH("argentin",B340))),"Amérique",IF(OR(ISNUMBER(SEARCH("chinois",B340)),ISNUMBER(SEARCH("japonais",B340)),ISNUMBER(SEARCH("coréen",B340)),ISNUMBER(SEARCH("indien",B340)),ISNUMBER(SEARCH("persan",B340)),ISNUMBER(SEARCH("iranien",B340))),"Asie","(non classée)"))))</f>
        <v/>
      </c>
    </row>
    <row r="341">
      <c r="A341" s="2" t="inlineStr">
        <is>
          <t>HANS EWORTH</t>
        </is>
      </c>
      <c r="B341" s="2" t="inlineStr">
        <is>
          <t>anglaise (Royaume-Uni)</t>
        </is>
      </c>
      <c r="C341" s="2" t="inlineStr">
        <is>
          <t>peinture</t>
        </is>
      </c>
      <c r="D341" s="2" t="inlineStr">
        <is>
          <t>16e</t>
        </is>
      </c>
      <c r="U341">
        <f>IF(ISNUMBER(SEARCH("fran",B341)),"France",IF(OR(ISNUMBER(SEARCH("italien",B341)),ISNUMBER(SEARCH("espagn",B341)),ISNUMBER(SEARCH("catalan",B341)),ISNUMBER(SEARCH("flamand",B341)),ISNUMBER(SEARCH("belge",B341)),ISNUMBER(SEARCH("hollandais",B341)),ISNUMBER(SEARCH("néerlandais",B341)),ISNUMBER(SEARCH("allemand",B341)),ISNUMBER(SEARCH("autrichien",B341)),ISNUMBER(SEARCH("suisse",B341)),ISNUMBER(SEARCH("anglais",B341)),ISNUMBER(SEARCH("britannique",B341)),ISNUMBER(SEARCH("écossais",B341)),ISNUMBER(SEARCH("irlandais",B341)),ISNUMBER(SEARCH("russe",B341)),ISNUMBER(SEARCH("portugais",B341)),ISNUMBER(SEARCH("danois",B341)),ISNUMBER(SEARCH("norvégien",B341)),ISNUMBER(SEARCH("suédois",B341)),ISNUMBER(SEARCH("finlandais",B341)),ISNUMBER(SEARCH("polonais",B341)),ISNUMBER(SEARCH("tchèque",B341)),ISNUMBER(SEARCH("hongrois",B341)),ISNUMBER(SEARCH("grec",B341)),ISNUMBER(SEARCH("byzantin",B341)),ISNUMBER(SEARCH("croate",B341)),ISNUMBER(SEARCH("ukrainien",B341)),ISNUMBER(SEARCH("bulgare",B341)),ISNUMBER(SEARCH("biélorusse",B341)),ISNUMBER(SEARCH("maltais",B341))),"Autres pays d'Europe",IF(OR(ISNUMBER(SEARCH("américain",B341)),ISNUMBER(SEARCH("mexicain",B341)),ISNUMBER(SEARCH("canadien",B341)),ISNUMBER(SEARCH("brésilien",B341)),ISNUMBER(SEARCH("argentin",B341))),"Amérique",IF(OR(ISNUMBER(SEARCH("chinois",B341)),ISNUMBER(SEARCH("japonais",B341)),ISNUMBER(SEARCH("coréen",B341)),ISNUMBER(SEARCH("indien",B341)),ISNUMBER(SEARCH("persan",B341)),ISNUMBER(SEARCH("iranien",B341))),"Asie","(non classée)"))))</f>
        <v/>
      </c>
    </row>
    <row r="342">
      <c r="A342" s="2" t="inlineStr">
        <is>
          <t>HANS HOLBEIN LE JEUNE</t>
        </is>
      </c>
      <c r="B342" s="2" t="inlineStr">
        <is>
          <t>allemande</t>
        </is>
      </c>
      <c r="C342" s="2" t="inlineStr">
        <is>
          <t>peinture</t>
        </is>
      </c>
      <c r="D342" s="2" t="inlineStr">
        <is>
          <t>16e</t>
        </is>
      </c>
      <c r="U342">
        <f>IF(ISNUMBER(SEARCH("fran",B342)),"France",IF(OR(ISNUMBER(SEARCH("italien",B342)),ISNUMBER(SEARCH("espagn",B342)),ISNUMBER(SEARCH("catalan",B342)),ISNUMBER(SEARCH("flamand",B342)),ISNUMBER(SEARCH("belge",B342)),ISNUMBER(SEARCH("hollandais",B342)),ISNUMBER(SEARCH("néerlandais",B342)),ISNUMBER(SEARCH("allemand",B342)),ISNUMBER(SEARCH("autrichien",B342)),ISNUMBER(SEARCH("suisse",B342)),ISNUMBER(SEARCH("anglais",B342)),ISNUMBER(SEARCH("britannique",B342)),ISNUMBER(SEARCH("écossais",B342)),ISNUMBER(SEARCH("irlandais",B342)),ISNUMBER(SEARCH("russe",B342)),ISNUMBER(SEARCH("portugais",B342)),ISNUMBER(SEARCH("danois",B342)),ISNUMBER(SEARCH("norvégien",B342)),ISNUMBER(SEARCH("suédois",B342)),ISNUMBER(SEARCH("finlandais",B342)),ISNUMBER(SEARCH("polonais",B342)),ISNUMBER(SEARCH("tchèque",B342)),ISNUMBER(SEARCH("hongrois",B342)),ISNUMBER(SEARCH("grec",B342)),ISNUMBER(SEARCH("byzantin",B342)),ISNUMBER(SEARCH("croate",B342)),ISNUMBER(SEARCH("ukrainien",B342)),ISNUMBER(SEARCH("bulgare",B342)),ISNUMBER(SEARCH("biélorusse",B342)),ISNUMBER(SEARCH("maltais",B342))),"Autres pays d'Europe",IF(OR(ISNUMBER(SEARCH("américain",B342)),ISNUMBER(SEARCH("mexicain",B342)),ISNUMBER(SEARCH("canadien",B342)),ISNUMBER(SEARCH("brésilien",B342)),ISNUMBER(SEARCH("argentin",B342))),"Amérique",IF(OR(ISNUMBER(SEARCH("chinois",B342)),ISNUMBER(SEARCH("japonais",B342)),ISNUMBER(SEARCH("coréen",B342)),ISNUMBER(SEARCH("indien",B342)),ISNUMBER(SEARCH("persan",B342)),ISNUMBER(SEARCH("iranien",B342))),"Asie","(non classée)"))))</f>
        <v/>
      </c>
    </row>
    <row r="343">
      <c r="A343" s="2" t="inlineStr">
        <is>
          <t>HANS KRUMPPER</t>
        </is>
      </c>
      <c r="B343" s="2" t="inlineStr">
        <is>
          <t>allemande</t>
        </is>
      </c>
      <c r="C343" s="2" t="inlineStr">
        <is>
          <t>sculpture</t>
        </is>
      </c>
      <c r="D343" s="2" t="inlineStr">
        <is>
          <t>17e</t>
        </is>
      </c>
      <c r="U343">
        <f>IF(ISNUMBER(SEARCH("fran",B343)),"France",IF(OR(ISNUMBER(SEARCH("italien",B343)),ISNUMBER(SEARCH("espagn",B343)),ISNUMBER(SEARCH("catalan",B343)),ISNUMBER(SEARCH("flamand",B343)),ISNUMBER(SEARCH("belge",B343)),ISNUMBER(SEARCH("hollandais",B343)),ISNUMBER(SEARCH("néerlandais",B343)),ISNUMBER(SEARCH("allemand",B343)),ISNUMBER(SEARCH("autrichien",B343)),ISNUMBER(SEARCH("suisse",B343)),ISNUMBER(SEARCH("anglais",B343)),ISNUMBER(SEARCH("britannique",B343)),ISNUMBER(SEARCH("écossais",B343)),ISNUMBER(SEARCH("irlandais",B343)),ISNUMBER(SEARCH("russe",B343)),ISNUMBER(SEARCH("portugais",B343)),ISNUMBER(SEARCH("danois",B343)),ISNUMBER(SEARCH("norvégien",B343)),ISNUMBER(SEARCH("suédois",B343)),ISNUMBER(SEARCH("finlandais",B343)),ISNUMBER(SEARCH("polonais",B343)),ISNUMBER(SEARCH("tchèque",B343)),ISNUMBER(SEARCH("hongrois",B343)),ISNUMBER(SEARCH("grec",B343)),ISNUMBER(SEARCH("byzantin",B343)),ISNUMBER(SEARCH("croate",B343)),ISNUMBER(SEARCH("ukrainien",B343)),ISNUMBER(SEARCH("bulgare",B343)),ISNUMBER(SEARCH("biélorusse",B343)),ISNUMBER(SEARCH("maltais",B343))),"Autres pays d'Europe",IF(OR(ISNUMBER(SEARCH("américain",B343)),ISNUMBER(SEARCH("mexicain",B343)),ISNUMBER(SEARCH("canadien",B343)),ISNUMBER(SEARCH("brésilien",B343)),ISNUMBER(SEARCH("argentin",B343))),"Amérique",IF(OR(ISNUMBER(SEARCH("chinois",B343)),ISNUMBER(SEARCH("japonais",B343)),ISNUMBER(SEARCH("coréen",B343)),ISNUMBER(SEARCH("indien",B343)),ISNUMBER(SEARCH("persan",B343)),ISNUMBER(SEARCH("iranien",B343))),"Asie","(non classée)"))))</f>
        <v/>
      </c>
    </row>
    <row r="344">
      <c r="A344" s="2" t="inlineStr">
        <is>
          <t>HANS LEINBERGER</t>
        </is>
      </c>
      <c r="B344" s="2" t="inlineStr">
        <is>
          <t>allemande</t>
        </is>
      </c>
      <c r="C344" s="2" t="inlineStr">
        <is>
          <t>sculpture</t>
        </is>
      </c>
      <c r="D344" s="2" t="inlineStr">
        <is>
          <t>16e</t>
        </is>
      </c>
      <c r="U344">
        <f>IF(ISNUMBER(SEARCH("fran",B344)),"France",IF(OR(ISNUMBER(SEARCH("italien",B344)),ISNUMBER(SEARCH("espagn",B344)),ISNUMBER(SEARCH("catalan",B344)),ISNUMBER(SEARCH("flamand",B344)),ISNUMBER(SEARCH("belge",B344)),ISNUMBER(SEARCH("hollandais",B344)),ISNUMBER(SEARCH("néerlandais",B344)),ISNUMBER(SEARCH("allemand",B344)),ISNUMBER(SEARCH("autrichien",B344)),ISNUMBER(SEARCH("suisse",B344)),ISNUMBER(SEARCH("anglais",B344)),ISNUMBER(SEARCH("britannique",B344)),ISNUMBER(SEARCH("écossais",B344)),ISNUMBER(SEARCH("irlandais",B344)),ISNUMBER(SEARCH("russe",B344)),ISNUMBER(SEARCH("portugais",B344)),ISNUMBER(SEARCH("danois",B344)),ISNUMBER(SEARCH("norvégien",B344)),ISNUMBER(SEARCH("suédois",B344)),ISNUMBER(SEARCH("finlandais",B344)),ISNUMBER(SEARCH("polonais",B344)),ISNUMBER(SEARCH("tchèque",B344)),ISNUMBER(SEARCH("hongrois",B344)),ISNUMBER(SEARCH("grec",B344)),ISNUMBER(SEARCH("byzantin",B344)),ISNUMBER(SEARCH("croate",B344)),ISNUMBER(SEARCH("ukrainien",B344)),ISNUMBER(SEARCH("bulgare",B344)),ISNUMBER(SEARCH("biélorusse",B344)),ISNUMBER(SEARCH("maltais",B344))),"Autres pays d'Europe",IF(OR(ISNUMBER(SEARCH("américain",B344)),ISNUMBER(SEARCH("mexicain",B344)),ISNUMBER(SEARCH("canadien",B344)),ISNUMBER(SEARCH("brésilien",B344)),ISNUMBER(SEARCH("argentin",B344))),"Amérique",IF(OR(ISNUMBER(SEARCH("chinois",B344)),ISNUMBER(SEARCH("japonais",B344)),ISNUMBER(SEARCH("coréen",B344)),ISNUMBER(SEARCH("indien",B344)),ISNUMBER(SEARCH("persan",B344)),ISNUMBER(SEARCH("iranien",B344))),"Asie","(non classée)"))))</f>
        <v/>
      </c>
    </row>
    <row r="345">
      <c r="A345" s="2" t="inlineStr">
        <is>
          <t>HANS MEMLING</t>
        </is>
      </c>
      <c r="B345" s="2" t="inlineStr">
        <is>
          <t>flamande (Belgique)</t>
        </is>
      </c>
      <c r="C345" s="2" t="inlineStr">
        <is>
          <t>peinture</t>
        </is>
      </c>
      <c r="D345" s="2" t="inlineStr">
        <is>
          <t>15e</t>
        </is>
      </c>
      <c r="U345">
        <f>IF(ISNUMBER(SEARCH("fran",B345)),"France",IF(OR(ISNUMBER(SEARCH("italien",B345)),ISNUMBER(SEARCH("espagn",B345)),ISNUMBER(SEARCH("catalan",B345)),ISNUMBER(SEARCH("flamand",B345)),ISNUMBER(SEARCH("belge",B345)),ISNUMBER(SEARCH("hollandais",B345)),ISNUMBER(SEARCH("néerlandais",B345)),ISNUMBER(SEARCH("allemand",B345)),ISNUMBER(SEARCH("autrichien",B345)),ISNUMBER(SEARCH("suisse",B345)),ISNUMBER(SEARCH("anglais",B345)),ISNUMBER(SEARCH("britannique",B345)),ISNUMBER(SEARCH("écossais",B345)),ISNUMBER(SEARCH("irlandais",B345)),ISNUMBER(SEARCH("russe",B345)),ISNUMBER(SEARCH("portugais",B345)),ISNUMBER(SEARCH("danois",B345)),ISNUMBER(SEARCH("norvégien",B345)),ISNUMBER(SEARCH("suédois",B345)),ISNUMBER(SEARCH("finlandais",B345)),ISNUMBER(SEARCH("polonais",B345)),ISNUMBER(SEARCH("tchèque",B345)),ISNUMBER(SEARCH("hongrois",B345)),ISNUMBER(SEARCH("grec",B345)),ISNUMBER(SEARCH("byzantin",B345)),ISNUMBER(SEARCH("croate",B345)),ISNUMBER(SEARCH("ukrainien",B345)),ISNUMBER(SEARCH("bulgare",B345)),ISNUMBER(SEARCH("biélorusse",B345)),ISNUMBER(SEARCH("maltais",B345))),"Autres pays d'Europe",IF(OR(ISNUMBER(SEARCH("américain",B345)),ISNUMBER(SEARCH("mexicain",B345)),ISNUMBER(SEARCH("canadien",B345)),ISNUMBER(SEARCH("brésilien",B345)),ISNUMBER(SEARCH("argentin",B345))),"Amérique",IF(OR(ISNUMBER(SEARCH("chinois",B345)),ISNUMBER(SEARCH("japonais",B345)),ISNUMBER(SEARCH("coréen",B345)),ISNUMBER(SEARCH("indien",B345)),ISNUMBER(SEARCH("persan",B345)),ISNUMBER(SEARCH("iranien",B345))),"Asie","(non classée)"))))</f>
        <v/>
      </c>
    </row>
    <row r="346">
      <c r="A346" s="2" t="inlineStr">
        <is>
          <t>HANS REICHLE</t>
        </is>
      </c>
      <c r="B346" s="2" t="inlineStr">
        <is>
          <t>allemande</t>
        </is>
      </c>
      <c r="C346" s="2" t="inlineStr">
        <is>
          <t>sculpture</t>
        </is>
      </c>
      <c r="D346" s="2" t="inlineStr">
        <is>
          <t>17e</t>
        </is>
      </c>
      <c r="U346">
        <f>IF(ISNUMBER(SEARCH("fran",B346)),"France",IF(OR(ISNUMBER(SEARCH("italien",B346)),ISNUMBER(SEARCH("espagn",B346)),ISNUMBER(SEARCH("catalan",B346)),ISNUMBER(SEARCH("flamand",B346)),ISNUMBER(SEARCH("belge",B346)),ISNUMBER(SEARCH("hollandais",B346)),ISNUMBER(SEARCH("néerlandais",B346)),ISNUMBER(SEARCH("allemand",B346)),ISNUMBER(SEARCH("autrichien",B346)),ISNUMBER(SEARCH("suisse",B346)),ISNUMBER(SEARCH("anglais",B346)),ISNUMBER(SEARCH("britannique",B346)),ISNUMBER(SEARCH("écossais",B346)),ISNUMBER(SEARCH("irlandais",B346)),ISNUMBER(SEARCH("russe",B346)),ISNUMBER(SEARCH("portugais",B346)),ISNUMBER(SEARCH("danois",B346)),ISNUMBER(SEARCH("norvégien",B346)),ISNUMBER(SEARCH("suédois",B346)),ISNUMBER(SEARCH("finlandais",B346)),ISNUMBER(SEARCH("polonais",B346)),ISNUMBER(SEARCH("tchèque",B346)),ISNUMBER(SEARCH("hongrois",B346)),ISNUMBER(SEARCH("grec",B346)),ISNUMBER(SEARCH("byzantin",B346)),ISNUMBER(SEARCH("croate",B346)),ISNUMBER(SEARCH("ukrainien",B346)),ISNUMBER(SEARCH("bulgare",B346)),ISNUMBER(SEARCH("biélorusse",B346)),ISNUMBER(SEARCH("maltais",B346))),"Autres pays d'Europe",IF(OR(ISNUMBER(SEARCH("américain",B346)),ISNUMBER(SEARCH("mexicain",B346)),ISNUMBER(SEARCH("canadien",B346)),ISNUMBER(SEARCH("brésilien",B346)),ISNUMBER(SEARCH("argentin",B346))),"Amérique",IF(OR(ISNUMBER(SEARCH("chinois",B346)),ISNUMBER(SEARCH("japonais",B346)),ISNUMBER(SEARCH("coréen",B346)),ISNUMBER(SEARCH("indien",B346)),ISNUMBER(SEARCH("persan",B346)),ISNUMBER(SEARCH("iranien",B346))),"Asie","(non classée)"))))</f>
        <v/>
      </c>
    </row>
    <row r="347">
      <c r="A347" s="2" t="inlineStr">
        <is>
          <t>HARRIET HOSMER</t>
        </is>
      </c>
      <c r="B347" s="2" t="inlineStr">
        <is>
          <t>américaine</t>
        </is>
      </c>
      <c r="C347" s="2" t="inlineStr">
        <is>
          <t>sculpture</t>
        </is>
      </c>
      <c r="D347" s="2" t="inlineStr">
        <is>
          <t>19e</t>
        </is>
      </c>
      <c r="U347">
        <f>IF(ISNUMBER(SEARCH("fran",B347)),"France",IF(OR(ISNUMBER(SEARCH("italien",B347)),ISNUMBER(SEARCH("espagn",B347)),ISNUMBER(SEARCH("catalan",B347)),ISNUMBER(SEARCH("flamand",B347)),ISNUMBER(SEARCH("belge",B347)),ISNUMBER(SEARCH("hollandais",B347)),ISNUMBER(SEARCH("néerlandais",B347)),ISNUMBER(SEARCH("allemand",B347)),ISNUMBER(SEARCH("autrichien",B347)),ISNUMBER(SEARCH("suisse",B347)),ISNUMBER(SEARCH("anglais",B347)),ISNUMBER(SEARCH("britannique",B347)),ISNUMBER(SEARCH("écossais",B347)),ISNUMBER(SEARCH("irlandais",B347)),ISNUMBER(SEARCH("russe",B347)),ISNUMBER(SEARCH("portugais",B347)),ISNUMBER(SEARCH("danois",B347)),ISNUMBER(SEARCH("norvégien",B347)),ISNUMBER(SEARCH("suédois",B347)),ISNUMBER(SEARCH("finlandais",B347)),ISNUMBER(SEARCH("polonais",B347)),ISNUMBER(SEARCH("tchèque",B347)),ISNUMBER(SEARCH("hongrois",B347)),ISNUMBER(SEARCH("grec",B347)),ISNUMBER(SEARCH("byzantin",B347)),ISNUMBER(SEARCH("croate",B347)),ISNUMBER(SEARCH("ukrainien",B347)),ISNUMBER(SEARCH("bulgare",B347)),ISNUMBER(SEARCH("biélorusse",B347)),ISNUMBER(SEARCH("maltais",B347))),"Autres pays d'Europe",IF(OR(ISNUMBER(SEARCH("américain",B347)),ISNUMBER(SEARCH("mexicain",B347)),ISNUMBER(SEARCH("canadien",B347)),ISNUMBER(SEARCH("brésilien",B347)),ISNUMBER(SEARCH("argentin",B347))),"Amérique",IF(OR(ISNUMBER(SEARCH("chinois",B347)),ISNUMBER(SEARCH("japonais",B347)),ISNUMBER(SEARCH("coréen",B347)),ISNUMBER(SEARCH("indien",B347)),ISNUMBER(SEARCH("persan",B347)),ISNUMBER(SEARCH("iranien",B347))),"Asie","(non classée)"))))</f>
        <v/>
      </c>
    </row>
    <row r="348">
      <c r="A348" s="2" t="inlineStr">
        <is>
          <t>HENDRICK AVERCAMP</t>
        </is>
      </c>
      <c r="B348" s="2" t="inlineStr">
        <is>
          <t>hollandaise (Pays-Bas)</t>
        </is>
      </c>
      <c r="C348" s="2" t="inlineStr">
        <is>
          <t>peinture</t>
        </is>
      </c>
      <c r="D348" s="2" t="inlineStr">
        <is>
          <t>17e</t>
        </is>
      </c>
      <c r="U348">
        <f>IF(ISNUMBER(SEARCH("fran",B348)),"France",IF(OR(ISNUMBER(SEARCH("italien",B348)),ISNUMBER(SEARCH("espagn",B348)),ISNUMBER(SEARCH("catalan",B348)),ISNUMBER(SEARCH("flamand",B348)),ISNUMBER(SEARCH("belge",B348)),ISNUMBER(SEARCH("hollandais",B348)),ISNUMBER(SEARCH("néerlandais",B348)),ISNUMBER(SEARCH("allemand",B348)),ISNUMBER(SEARCH("autrichien",B348)),ISNUMBER(SEARCH("suisse",B348)),ISNUMBER(SEARCH("anglais",B348)),ISNUMBER(SEARCH("britannique",B348)),ISNUMBER(SEARCH("écossais",B348)),ISNUMBER(SEARCH("irlandais",B348)),ISNUMBER(SEARCH("russe",B348)),ISNUMBER(SEARCH("portugais",B348)),ISNUMBER(SEARCH("danois",B348)),ISNUMBER(SEARCH("norvégien",B348)),ISNUMBER(SEARCH("suédois",B348)),ISNUMBER(SEARCH("finlandais",B348)),ISNUMBER(SEARCH("polonais",B348)),ISNUMBER(SEARCH("tchèque",B348)),ISNUMBER(SEARCH("hongrois",B348)),ISNUMBER(SEARCH("grec",B348)),ISNUMBER(SEARCH("byzantin",B348)),ISNUMBER(SEARCH("croate",B348)),ISNUMBER(SEARCH("ukrainien",B348)),ISNUMBER(SEARCH("bulgare",B348)),ISNUMBER(SEARCH("biélorusse",B348)),ISNUMBER(SEARCH("maltais",B348))),"Autres pays d'Europe",IF(OR(ISNUMBER(SEARCH("américain",B348)),ISNUMBER(SEARCH("mexicain",B348)),ISNUMBER(SEARCH("canadien",B348)),ISNUMBER(SEARCH("brésilien",B348)),ISNUMBER(SEARCH("argentin",B348))),"Amérique",IF(OR(ISNUMBER(SEARCH("chinois",B348)),ISNUMBER(SEARCH("japonais",B348)),ISNUMBER(SEARCH("coréen",B348)),ISNUMBER(SEARCH("indien",B348)),ISNUMBER(SEARCH("persan",B348)),ISNUMBER(SEARCH("iranien",B348))),"Asie","(non classée)"))))</f>
        <v/>
      </c>
    </row>
    <row r="349">
      <c r="A349" s="2" t="inlineStr">
        <is>
          <t>HENDRICK DE KEYSER</t>
        </is>
      </c>
      <c r="B349" s="2" t="inlineStr">
        <is>
          <t>hollandaise (Pays-Bas)</t>
        </is>
      </c>
      <c r="C349" s="2" t="inlineStr">
        <is>
          <t>sculpture</t>
        </is>
      </c>
      <c r="D349" s="2" t="inlineStr">
        <is>
          <t>17e</t>
        </is>
      </c>
      <c r="U349">
        <f>IF(ISNUMBER(SEARCH("fran",B349)),"France",IF(OR(ISNUMBER(SEARCH("italien",B349)),ISNUMBER(SEARCH("espagn",B349)),ISNUMBER(SEARCH("catalan",B349)),ISNUMBER(SEARCH("flamand",B349)),ISNUMBER(SEARCH("belge",B349)),ISNUMBER(SEARCH("hollandais",B349)),ISNUMBER(SEARCH("néerlandais",B349)),ISNUMBER(SEARCH("allemand",B349)),ISNUMBER(SEARCH("autrichien",B349)),ISNUMBER(SEARCH("suisse",B349)),ISNUMBER(SEARCH("anglais",B349)),ISNUMBER(SEARCH("britannique",B349)),ISNUMBER(SEARCH("écossais",B349)),ISNUMBER(SEARCH("irlandais",B349)),ISNUMBER(SEARCH("russe",B349)),ISNUMBER(SEARCH("portugais",B349)),ISNUMBER(SEARCH("danois",B349)),ISNUMBER(SEARCH("norvégien",B349)),ISNUMBER(SEARCH("suédois",B349)),ISNUMBER(SEARCH("finlandais",B349)),ISNUMBER(SEARCH("polonais",B349)),ISNUMBER(SEARCH("tchèque",B349)),ISNUMBER(SEARCH("hongrois",B349)),ISNUMBER(SEARCH("grec",B349)),ISNUMBER(SEARCH("byzantin",B349)),ISNUMBER(SEARCH("croate",B349)),ISNUMBER(SEARCH("ukrainien",B349)),ISNUMBER(SEARCH("bulgare",B349)),ISNUMBER(SEARCH("biélorusse",B349)),ISNUMBER(SEARCH("maltais",B349))),"Autres pays d'Europe",IF(OR(ISNUMBER(SEARCH("américain",B349)),ISNUMBER(SEARCH("mexicain",B349)),ISNUMBER(SEARCH("canadien",B349)),ISNUMBER(SEARCH("brésilien",B349)),ISNUMBER(SEARCH("argentin",B349))),"Amérique",IF(OR(ISNUMBER(SEARCH("chinois",B349)),ISNUMBER(SEARCH("japonais",B349)),ISNUMBER(SEARCH("coréen",B349)),ISNUMBER(SEARCH("indien",B349)),ISNUMBER(SEARCH("persan",B349)),ISNUMBER(SEARCH("iranien",B349))),"Asie","(non classée)"))))</f>
        <v/>
      </c>
    </row>
    <row r="350">
      <c r="A350" s="2" t="inlineStr">
        <is>
          <t>HENRI CHAPU</t>
        </is>
      </c>
      <c r="B350" s="2" t="inlineStr">
        <is>
          <t>française</t>
        </is>
      </c>
      <c r="C350" s="2" t="inlineStr">
        <is>
          <t>sculpture</t>
        </is>
      </c>
      <c r="D350" s="2" t="inlineStr">
        <is>
          <t>19e</t>
        </is>
      </c>
      <c r="U350">
        <f>IF(ISNUMBER(SEARCH("fran",B350)),"France",IF(OR(ISNUMBER(SEARCH("italien",B350)),ISNUMBER(SEARCH("espagn",B350)),ISNUMBER(SEARCH("catalan",B350)),ISNUMBER(SEARCH("flamand",B350)),ISNUMBER(SEARCH("belge",B350)),ISNUMBER(SEARCH("hollandais",B350)),ISNUMBER(SEARCH("néerlandais",B350)),ISNUMBER(SEARCH("allemand",B350)),ISNUMBER(SEARCH("autrichien",B350)),ISNUMBER(SEARCH("suisse",B350)),ISNUMBER(SEARCH("anglais",B350)),ISNUMBER(SEARCH("britannique",B350)),ISNUMBER(SEARCH("écossais",B350)),ISNUMBER(SEARCH("irlandais",B350)),ISNUMBER(SEARCH("russe",B350)),ISNUMBER(SEARCH("portugais",B350)),ISNUMBER(SEARCH("danois",B350)),ISNUMBER(SEARCH("norvégien",B350)),ISNUMBER(SEARCH("suédois",B350)),ISNUMBER(SEARCH("finlandais",B350)),ISNUMBER(SEARCH("polonais",B350)),ISNUMBER(SEARCH("tchèque",B350)),ISNUMBER(SEARCH("hongrois",B350)),ISNUMBER(SEARCH("grec",B350)),ISNUMBER(SEARCH("byzantin",B350)),ISNUMBER(SEARCH("croate",B350)),ISNUMBER(SEARCH("ukrainien",B350)),ISNUMBER(SEARCH("bulgare",B350)),ISNUMBER(SEARCH("biélorusse",B350)),ISNUMBER(SEARCH("maltais",B350))),"Autres pays d'Europe",IF(OR(ISNUMBER(SEARCH("américain",B350)),ISNUMBER(SEARCH("mexicain",B350)),ISNUMBER(SEARCH("canadien",B350)),ISNUMBER(SEARCH("brésilien",B350)),ISNUMBER(SEARCH("argentin",B350))),"Amérique",IF(OR(ISNUMBER(SEARCH("chinois",B350)),ISNUMBER(SEARCH("japonais",B350)),ISNUMBER(SEARCH("coréen",B350)),ISNUMBER(SEARCH("indien",B350)),ISNUMBER(SEARCH("persan",B350)),ISNUMBER(SEARCH("iranien",B350))),"Asie","(non classée)"))))</f>
        <v/>
      </c>
    </row>
    <row r="351">
      <c r="A351" s="2" t="inlineStr">
        <is>
          <t>HENRI MANGUIN</t>
        </is>
      </c>
      <c r="B351" s="2" t="inlineStr">
        <is>
          <t>française</t>
        </is>
      </c>
      <c r="C351" s="2" t="inlineStr">
        <is>
          <t>peinture</t>
        </is>
      </c>
      <c r="D351" s="2" t="inlineStr">
        <is>
          <t>20e</t>
        </is>
      </c>
      <c r="U351">
        <f>IF(ISNUMBER(SEARCH("fran",B351)),"France",IF(OR(ISNUMBER(SEARCH("italien",B351)),ISNUMBER(SEARCH("espagn",B351)),ISNUMBER(SEARCH("catalan",B351)),ISNUMBER(SEARCH("flamand",B351)),ISNUMBER(SEARCH("belge",B351)),ISNUMBER(SEARCH("hollandais",B351)),ISNUMBER(SEARCH("néerlandais",B351)),ISNUMBER(SEARCH("allemand",B351)),ISNUMBER(SEARCH("autrichien",B351)),ISNUMBER(SEARCH("suisse",B351)),ISNUMBER(SEARCH("anglais",B351)),ISNUMBER(SEARCH("britannique",B351)),ISNUMBER(SEARCH("écossais",B351)),ISNUMBER(SEARCH("irlandais",B351)),ISNUMBER(SEARCH("russe",B351)),ISNUMBER(SEARCH("portugais",B351)),ISNUMBER(SEARCH("danois",B351)),ISNUMBER(SEARCH("norvégien",B351)),ISNUMBER(SEARCH("suédois",B351)),ISNUMBER(SEARCH("finlandais",B351)),ISNUMBER(SEARCH("polonais",B351)),ISNUMBER(SEARCH("tchèque",B351)),ISNUMBER(SEARCH("hongrois",B351)),ISNUMBER(SEARCH("grec",B351)),ISNUMBER(SEARCH("byzantin",B351)),ISNUMBER(SEARCH("croate",B351)),ISNUMBER(SEARCH("ukrainien",B351)),ISNUMBER(SEARCH("bulgare",B351)),ISNUMBER(SEARCH("biélorusse",B351)),ISNUMBER(SEARCH("maltais",B351))),"Autres pays d'Europe",IF(OR(ISNUMBER(SEARCH("américain",B351)),ISNUMBER(SEARCH("mexicain",B351)),ISNUMBER(SEARCH("canadien",B351)),ISNUMBER(SEARCH("brésilien",B351)),ISNUMBER(SEARCH("argentin",B351))),"Amérique",IF(OR(ISNUMBER(SEARCH("chinois",B351)),ISNUMBER(SEARCH("japonais",B351)),ISNUMBER(SEARCH("coréen",B351)),ISNUMBER(SEARCH("indien",B351)),ISNUMBER(SEARCH("persan",B351)),ISNUMBER(SEARCH("iranien",B351))),"Asie","(non classée)"))))</f>
        <v/>
      </c>
    </row>
    <row r="352">
      <c r="A352" s="2" t="inlineStr">
        <is>
          <t>HENRI MATISSE</t>
        </is>
      </c>
      <c r="B352" s="2" t="inlineStr">
        <is>
          <t>française</t>
        </is>
      </c>
      <c r="C352" s="2" t="inlineStr">
        <is>
          <t>peinture</t>
        </is>
      </c>
      <c r="D352" s="2" t="inlineStr">
        <is>
          <t>20e</t>
        </is>
      </c>
      <c r="U352">
        <f>IF(ISNUMBER(SEARCH("fran",B352)),"France",IF(OR(ISNUMBER(SEARCH("italien",B352)),ISNUMBER(SEARCH("espagn",B352)),ISNUMBER(SEARCH("catalan",B352)),ISNUMBER(SEARCH("flamand",B352)),ISNUMBER(SEARCH("belge",B352)),ISNUMBER(SEARCH("hollandais",B352)),ISNUMBER(SEARCH("néerlandais",B352)),ISNUMBER(SEARCH("allemand",B352)),ISNUMBER(SEARCH("autrichien",B352)),ISNUMBER(SEARCH("suisse",B352)),ISNUMBER(SEARCH("anglais",B352)),ISNUMBER(SEARCH("britannique",B352)),ISNUMBER(SEARCH("écossais",B352)),ISNUMBER(SEARCH("irlandais",B352)),ISNUMBER(SEARCH("russe",B352)),ISNUMBER(SEARCH("portugais",B352)),ISNUMBER(SEARCH("danois",B352)),ISNUMBER(SEARCH("norvégien",B352)),ISNUMBER(SEARCH("suédois",B352)),ISNUMBER(SEARCH("finlandais",B352)),ISNUMBER(SEARCH("polonais",B352)),ISNUMBER(SEARCH("tchèque",B352)),ISNUMBER(SEARCH("hongrois",B352)),ISNUMBER(SEARCH("grec",B352)),ISNUMBER(SEARCH("byzantin",B352)),ISNUMBER(SEARCH("croate",B352)),ISNUMBER(SEARCH("ukrainien",B352)),ISNUMBER(SEARCH("bulgare",B352)),ISNUMBER(SEARCH("biélorusse",B352)),ISNUMBER(SEARCH("maltais",B352))),"Autres pays d'Europe",IF(OR(ISNUMBER(SEARCH("américain",B352)),ISNUMBER(SEARCH("mexicain",B352)),ISNUMBER(SEARCH("canadien",B352)),ISNUMBER(SEARCH("brésilien",B352)),ISNUMBER(SEARCH("argentin",B352))),"Amérique",IF(OR(ISNUMBER(SEARCH("chinois",B352)),ISNUMBER(SEARCH("japonais",B352)),ISNUMBER(SEARCH("coréen",B352)),ISNUMBER(SEARCH("indien",B352)),ISNUMBER(SEARCH("persan",B352)),ISNUMBER(SEARCH("iranien",B352))),"Asie","(non classée)"))))</f>
        <v/>
      </c>
    </row>
    <row r="353">
      <c r="A353" s="2" t="inlineStr">
        <is>
          <t>HENRI ROUSSEAU (LE DOUANIER)</t>
        </is>
      </c>
      <c r="B353" s="2" t="inlineStr">
        <is>
          <t>française</t>
        </is>
      </c>
      <c r="C353" s="2" t="inlineStr">
        <is>
          <t>peinture</t>
        </is>
      </c>
      <c r="D353" s="2" t="inlineStr">
        <is>
          <t>20e</t>
        </is>
      </c>
      <c r="U353">
        <f>IF(ISNUMBER(SEARCH("fran",B353)),"France",IF(OR(ISNUMBER(SEARCH("italien",B353)),ISNUMBER(SEARCH("espagn",B353)),ISNUMBER(SEARCH("catalan",B353)),ISNUMBER(SEARCH("flamand",B353)),ISNUMBER(SEARCH("belge",B353)),ISNUMBER(SEARCH("hollandais",B353)),ISNUMBER(SEARCH("néerlandais",B353)),ISNUMBER(SEARCH("allemand",B353)),ISNUMBER(SEARCH("autrichien",B353)),ISNUMBER(SEARCH("suisse",B353)),ISNUMBER(SEARCH("anglais",B353)),ISNUMBER(SEARCH("britannique",B353)),ISNUMBER(SEARCH("écossais",B353)),ISNUMBER(SEARCH("irlandais",B353)),ISNUMBER(SEARCH("russe",B353)),ISNUMBER(SEARCH("portugais",B353)),ISNUMBER(SEARCH("danois",B353)),ISNUMBER(SEARCH("norvégien",B353)),ISNUMBER(SEARCH("suédois",B353)),ISNUMBER(SEARCH("finlandais",B353)),ISNUMBER(SEARCH("polonais",B353)),ISNUMBER(SEARCH("tchèque",B353)),ISNUMBER(SEARCH("hongrois",B353)),ISNUMBER(SEARCH("grec",B353)),ISNUMBER(SEARCH("byzantin",B353)),ISNUMBER(SEARCH("croate",B353)),ISNUMBER(SEARCH("ukrainien",B353)),ISNUMBER(SEARCH("bulgare",B353)),ISNUMBER(SEARCH("biélorusse",B353)),ISNUMBER(SEARCH("maltais",B353))),"Autres pays d'Europe",IF(OR(ISNUMBER(SEARCH("américain",B353)),ISNUMBER(SEARCH("mexicain",B353)),ISNUMBER(SEARCH("canadien",B353)),ISNUMBER(SEARCH("brésilien",B353)),ISNUMBER(SEARCH("argentin",B353))),"Amérique",IF(OR(ISNUMBER(SEARCH("chinois",B353)),ISNUMBER(SEARCH("japonais",B353)),ISNUMBER(SEARCH("coréen",B353)),ISNUMBER(SEARCH("indien",B353)),ISNUMBER(SEARCH("persan",B353)),ISNUMBER(SEARCH("iranien",B353))),"Asie","(non classée)"))))</f>
        <v/>
      </c>
    </row>
    <row r="354">
      <c r="A354" s="2" t="inlineStr">
        <is>
          <t>HENRI DE TOULOUSE-LAUTREC</t>
        </is>
      </c>
      <c r="B354" s="2" t="inlineStr">
        <is>
          <t>française</t>
        </is>
      </c>
      <c r="C354" s="2" t="inlineStr">
        <is>
          <t>peinture</t>
        </is>
      </c>
      <c r="D354" s="2" t="inlineStr">
        <is>
          <t>19e</t>
        </is>
      </c>
      <c r="U354">
        <f>IF(ISNUMBER(SEARCH("fran",B354)),"France",IF(OR(ISNUMBER(SEARCH("italien",B354)),ISNUMBER(SEARCH("espagn",B354)),ISNUMBER(SEARCH("catalan",B354)),ISNUMBER(SEARCH("flamand",B354)),ISNUMBER(SEARCH("belge",B354)),ISNUMBER(SEARCH("hollandais",B354)),ISNUMBER(SEARCH("néerlandais",B354)),ISNUMBER(SEARCH("allemand",B354)),ISNUMBER(SEARCH("autrichien",B354)),ISNUMBER(SEARCH("suisse",B354)),ISNUMBER(SEARCH("anglais",B354)),ISNUMBER(SEARCH("britannique",B354)),ISNUMBER(SEARCH("écossais",B354)),ISNUMBER(SEARCH("irlandais",B354)),ISNUMBER(SEARCH("russe",B354)),ISNUMBER(SEARCH("portugais",B354)),ISNUMBER(SEARCH("danois",B354)),ISNUMBER(SEARCH("norvégien",B354)),ISNUMBER(SEARCH("suédois",B354)),ISNUMBER(SEARCH("finlandais",B354)),ISNUMBER(SEARCH("polonais",B354)),ISNUMBER(SEARCH("tchèque",B354)),ISNUMBER(SEARCH("hongrois",B354)),ISNUMBER(SEARCH("grec",B354)),ISNUMBER(SEARCH("byzantin",B354)),ISNUMBER(SEARCH("croate",B354)),ISNUMBER(SEARCH("ukrainien",B354)),ISNUMBER(SEARCH("bulgare",B354)),ISNUMBER(SEARCH("biélorusse",B354)),ISNUMBER(SEARCH("maltais",B354))),"Autres pays d'Europe",IF(OR(ISNUMBER(SEARCH("américain",B354)),ISNUMBER(SEARCH("mexicain",B354)),ISNUMBER(SEARCH("canadien",B354)),ISNUMBER(SEARCH("brésilien",B354)),ISNUMBER(SEARCH("argentin",B354))),"Amérique",IF(OR(ISNUMBER(SEARCH("chinois",B354)),ISNUMBER(SEARCH("japonais",B354)),ISNUMBER(SEARCH("coréen",B354)),ISNUMBER(SEARCH("indien",B354)),ISNUMBER(SEARCH("persan",B354)),ISNUMBER(SEARCH("iranien",B354))),"Asie","(non classée)"))))</f>
        <v/>
      </c>
    </row>
    <row r="355">
      <c r="A355" s="2" t="inlineStr">
        <is>
          <t>HENRY FUSELI</t>
        </is>
      </c>
      <c r="B355" s="2" t="inlineStr">
        <is>
          <t>suisse</t>
        </is>
      </c>
      <c r="C355" s="2" t="inlineStr">
        <is>
          <t>peinture</t>
        </is>
      </c>
      <c r="D355" s="2" t="inlineStr">
        <is>
          <t>18e</t>
        </is>
      </c>
      <c r="U355">
        <f>IF(ISNUMBER(SEARCH("fran",B355)),"France",IF(OR(ISNUMBER(SEARCH("italien",B355)),ISNUMBER(SEARCH("espagn",B355)),ISNUMBER(SEARCH("catalan",B355)),ISNUMBER(SEARCH("flamand",B355)),ISNUMBER(SEARCH("belge",B355)),ISNUMBER(SEARCH("hollandais",B355)),ISNUMBER(SEARCH("néerlandais",B355)),ISNUMBER(SEARCH("allemand",B355)),ISNUMBER(SEARCH("autrichien",B355)),ISNUMBER(SEARCH("suisse",B355)),ISNUMBER(SEARCH("anglais",B355)),ISNUMBER(SEARCH("britannique",B355)),ISNUMBER(SEARCH("écossais",B355)),ISNUMBER(SEARCH("irlandais",B355)),ISNUMBER(SEARCH("russe",B355)),ISNUMBER(SEARCH("portugais",B355)),ISNUMBER(SEARCH("danois",B355)),ISNUMBER(SEARCH("norvégien",B355)),ISNUMBER(SEARCH("suédois",B355)),ISNUMBER(SEARCH("finlandais",B355)),ISNUMBER(SEARCH("polonais",B355)),ISNUMBER(SEARCH("tchèque",B355)),ISNUMBER(SEARCH("hongrois",B355)),ISNUMBER(SEARCH("grec",B355)),ISNUMBER(SEARCH("byzantin",B355)),ISNUMBER(SEARCH("croate",B355)),ISNUMBER(SEARCH("ukrainien",B355)),ISNUMBER(SEARCH("bulgare",B355)),ISNUMBER(SEARCH("biélorusse",B355)),ISNUMBER(SEARCH("maltais",B355))),"Autres pays d'Europe",IF(OR(ISNUMBER(SEARCH("américain",B355)),ISNUMBER(SEARCH("mexicain",B355)),ISNUMBER(SEARCH("canadien",B355)),ISNUMBER(SEARCH("brésilien",B355)),ISNUMBER(SEARCH("argentin",B355))),"Amérique",IF(OR(ISNUMBER(SEARCH("chinois",B355)),ISNUMBER(SEARCH("japonais",B355)),ISNUMBER(SEARCH("coréen",B355)),ISNUMBER(SEARCH("indien",B355)),ISNUMBER(SEARCH("persan",B355)),ISNUMBER(SEARCH("iranien",B355))),"Asie","(non classée)"))))</f>
        <v/>
      </c>
    </row>
    <row r="356">
      <c r="A356" s="2" t="inlineStr">
        <is>
          <t>HENRY RAEBURN</t>
        </is>
      </c>
      <c r="B356" s="2" t="inlineStr">
        <is>
          <t>écossaise (Royaume-Uni)</t>
        </is>
      </c>
      <c r="C356" s="2" t="inlineStr">
        <is>
          <t>peinture</t>
        </is>
      </c>
      <c r="D356" s="2" t="inlineStr">
        <is>
          <t>18e</t>
        </is>
      </c>
      <c r="U356">
        <f>IF(ISNUMBER(SEARCH("fran",B356)),"France",IF(OR(ISNUMBER(SEARCH("italien",B356)),ISNUMBER(SEARCH("espagn",B356)),ISNUMBER(SEARCH("catalan",B356)),ISNUMBER(SEARCH("flamand",B356)),ISNUMBER(SEARCH("belge",B356)),ISNUMBER(SEARCH("hollandais",B356)),ISNUMBER(SEARCH("néerlandais",B356)),ISNUMBER(SEARCH("allemand",B356)),ISNUMBER(SEARCH("autrichien",B356)),ISNUMBER(SEARCH("suisse",B356)),ISNUMBER(SEARCH("anglais",B356)),ISNUMBER(SEARCH("britannique",B356)),ISNUMBER(SEARCH("écossais",B356)),ISNUMBER(SEARCH("irlandais",B356)),ISNUMBER(SEARCH("russe",B356)),ISNUMBER(SEARCH("portugais",B356)),ISNUMBER(SEARCH("danois",B356)),ISNUMBER(SEARCH("norvégien",B356)),ISNUMBER(SEARCH("suédois",B356)),ISNUMBER(SEARCH("finlandais",B356)),ISNUMBER(SEARCH("polonais",B356)),ISNUMBER(SEARCH("tchèque",B356)),ISNUMBER(SEARCH("hongrois",B356)),ISNUMBER(SEARCH("grec",B356)),ISNUMBER(SEARCH("byzantin",B356)),ISNUMBER(SEARCH("croate",B356)),ISNUMBER(SEARCH("ukrainien",B356)),ISNUMBER(SEARCH("bulgare",B356)),ISNUMBER(SEARCH("biélorusse",B356)),ISNUMBER(SEARCH("maltais",B356))),"Autres pays d'Europe",IF(OR(ISNUMBER(SEARCH("américain",B356)),ISNUMBER(SEARCH("mexicain",B356)),ISNUMBER(SEARCH("canadien",B356)),ISNUMBER(SEARCH("brésilien",B356)),ISNUMBER(SEARCH("argentin",B356))),"Amérique",IF(OR(ISNUMBER(SEARCH("chinois",B356)),ISNUMBER(SEARCH("japonais",B356)),ISNUMBER(SEARCH("coréen",B356)),ISNUMBER(SEARCH("indien",B356)),ISNUMBER(SEARCH("persan",B356)),ISNUMBER(SEARCH("iranien",B356))),"Asie","(non classée)"))))</f>
        <v/>
      </c>
    </row>
    <row r="357">
      <c r="A357" s="2" t="inlineStr">
        <is>
          <t>HILMA AF KLINT</t>
        </is>
      </c>
      <c r="B357" s="2" t="inlineStr">
        <is>
          <t>suédoise</t>
        </is>
      </c>
      <c r="C357" s="2" t="inlineStr">
        <is>
          <t>peinture</t>
        </is>
      </c>
      <c r="D357" s="2" t="inlineStr">
        <is>
          <t>20e</t>
        </is>
      </c>
      <c r="U357">
        <f>IF(ISNUMBER(SEARCH("fran",B357)),"France",IF(OR(ISNUMBER(SEARCH("italien",B357)),ISNUMBER(SEARCH("espagn",B357)),ISNUMBER(SEARCH("catalan",B357)),ISNUMBER(SEARCH("flamand",B357)),ISNUMBER(SEARCH("belge",B357)),ISNUMBER(SEARCH("hollandais",B357)),ISNUMBER(SEARCH("néerlandais",B357)),ISNUMBER(SEARCH("allemand",B357)),ISNUMBER(SEARCH("autrichien",B357)),ISNUMBER(SEARCH("suisse",B357)),ISNUMBER(SEARCH("anglais",B357)),ISNUMBER(SEARCH("britannique",B357)),ISNUMBER(SEARCH("écossais",B357)),ISNUMBER(SEARCH("irlandais",B357)),ISNUMBER(SEARCH("russe",B357)),ISNUMBER(SEARCH("portugais",B357)),ISNUMBER(SEARCH("danois",B357)),ISNUMBER(SEARCH("norvégien",B357)),ISNUMBER(SEARCH("suédois",B357)),ISNUMBER(SEARCH("finlandais",B357)),ISNUMBER(SEARCH("polonais",B357)),ISNUMBER(SEARCH("tchèque",B357)),ISNUMBER(SEARCH("hongrois",B357)),ISNUMBER(SEARCH("grec",B357)),ISNUMBER(SEARCH("byzantin",B357)),ISNUMBER(SEARCH("croate",B357)),ISNUMBER(SEARCH("ukrainien",B357)),ISNUMBER(SEARCH("bulgare",B357)),ISNUMBER(SEARCH("biélorusse",B357)),ISNUMBER(SEARCH("maltais",B357))),"Autres pays d'Europe",IF(OR(ISNUMBER(SEARCH("américain",B357)),ISNUMBER(SEARCH("mexicain",B357)),ISNUMBER(SEARCH("canadien",B357)),ISNUMBER(SEARCH("brésilien",B357)),ISNUMBER(SEARCH("argentin",B357))),"Amérique",IF(OR(ISNUMBER(SEARCH("chinois",B357)),ISNUMBER(SEARCH("japonais",B357)),ISNUMBER(SEARCH("coréen",B357)),ISNUMBER(SEARCH("indien",B357)),ISNUMBER(SEARCH("persan",B357)),ISNUMBER(SEARCH("iranien",B357))),"Asie","(non classée)"))))</f>
        <v/>
      </c>
    </row>
    <row r="358">
      <c r="A358" s="2" t="inlineStr">
        <is>
          <t>HIRAM POWERS</t>
        </is>
      </c>
      <c r="B358" s="2" t="inlineStr">
        <is>
          <t>américaine</t>
        </is>
      </c>
      <c r="C358" s="2" t="inlineStr">
        <is>
          <t>sculpture</t>
        </is>
      </c>
      <c r="D358" s="2" t="inlineStr">
        <is>
          <t>19e</t>
        </is>
      </c>
      <c r="U358">
        <f>IF(ISNUMBER(SEARCH("fran",B358)),"France",IF(OR(ISNUMBER(SEARCH("italien",B358)),ISNUMBER(SEARCH("espagn",B358)),ISNUMBER(SEARCH("catalan",B358)),ISNUMBER(SEARCH("flamand",B358)),ISNUMBER(SEARCH("belge",B358)),ISNUMBER(SEARCH("hollandais",B358)),ISNUMBER(SEARCH("néerlandais",B358)),ISNUMBER(SEARCH("allemand",B358)),ISNUMBER(SEARCH("autrichien",B358)),ISNUMBER(SEARCH("suisse",B358)),ISNUMBER(SEARCH("anglais",B358)),ISNUMBER(SEARCH("britannique",B358)),ISNUMBER(SEARCH("écossais",B358)),ISNUMBER(SEARCH("irlandais",B358)),ISNUMBER(SEARCH("russe",B358)),ISNUMBER(SEARCH("portugais",B358)),ISNUMBER(SEARCH("danois",B358)),ISNUMBER(SEARCH("norvégien",B358)),ISNUMBER(SEARCH("suédois",B358)),ISNUMBER(SEARCH("finlandais",B358)),ISNUMBER(SEARCH("polonais",B358)),ISNUMBER(SEARCH("tchèque",B358)),ISNUMBER(SEARCH("hongrois",B358)),ISNUMBER(SEARCH("grec",B358)),ISNUMBER(SEARCH("byzantin",B358)),ISNUMBER(SEARCH("croate",B358)),ISNUMBER(SEARCH("ukrainien",B358)),ISNUMBER(SEARCH("bulgare",B358)),ISNUMBER(SEARCH("biélorusse",B358)),ISNUMBER(SEARCH("maltais",B358))),"Autres pays d'Europe",IF(OR(ISNUMBER(SEARCH("américain",B358)),ISNUMBER(SEARCH("mexicain",B358)),ISNUMBER(SEARCH("canadien",B358)),ISNUMBER(SEARCH("brésilien",B358)),ISNUMBER(SEARCH("argentin",B358))),"Amérique",IF(OR(ISNUMBER(SEARCH("chinois",B358)),ISNUMBER(SEARCH("japonais",B358)),ISNUMBER(SEARCH("coréen",B358)),ISNUMBER(SEARCH("indien",B358)),ISNUMBER(SEARCH("persan",B358)),ISNUMBER(SEARCH("iranien",B358))),"Asie","(non classée)"))))</f>
        <v/>
      </c>
    </row>
    <row r="359">
      <c r="A359" s="2" t="inlineStr">
        <is>
          <t>HISHIKAWA MORONOBU</t>
        </is>
      </c>
      <c r="B359" s="2" t="inlineStr">
        <is>
          <t>japonaise</t>
        </is>
      </c>
      <c r="C359" s="2" t="inlineStr">
        <is>
          <t>peinture</t>
        </is>
      </c>
      <c r="D359" s="2" t="inlineStr">
        <is>
          <t>17e</t>
        </is>
      </c>
      <c r="U359">
        <f>IF(ISNUMBER(SEARCH("fran",B359)),"France",IF(OR(ISNUMBER(SEARCH("italien",B359)),ISNUMBER(SEARCH("espagn",B359)),ISNUMBER(SEARCH("catalan",B359)),ISNUMBER(SEARCH("flamand",B359)),ISNUMBER(SEARCH("belge",B359)),ISNUMBER(SEARCH("hollandais",B359)),ISNUMBER(SEARCH("néerlandais",B359)),ISNUMBER(SEARCH("allemand",B359)),ISNUMBER(SEARCH("autrichien",B359)),ISNUMBER(SEARCH("suisse",B359)),ISNUMBER(SEARCH("anglais",B359)),ISNUMBER(SEARCH("britannique",B359)),ISNUMBER(SEARCH("écossais",B359)),ISNUMBER(SEARCH("irlandais",B359)),ISNUMBER(SEARCH("russe",B359)),ISNUMBER(SEARCH("portugais",B359)),ISNUMBER(SEARCH("danois",B359)),ISNUMBER(SEARCH("norvégien",B359)),ISNUMBER(SEARCH("suédois",B359)),ISNUMBER(SEARCH("finlandais",B359)),ISNUMBER(SEARCH("polonais",B359)),ISNUMBER(SEARCH("tchèque",B359)),ISNUMBER(SEARCH("hongrois",B359)),ISNUMBER(SEARCH("grec",B359)),ISNUMBER(SEARCH("byzantin",B359)),ISNUMBER(SEARCH("croate",B359)),ISNUMBER(SEARCH("ukrainien",B359)),ISNUMBER(SEARCH("bulgare",B359)),ISNUMBER(SEARCH("biélorusse",B359)),ISNUMBER(SEARCH("maltais",B359))),"Autres pays d'Europe",IF(OR(ISNUMBER(SEARCH("américain",B359)),ISNUMBER(SEARCH("mexicain",B359)),ISNUMBER(SEARCH("canadien",B359)),ISNUMBER(SEARCH("brésilien",B359)),ISNUMBER(SEARCH("argentin",B359))),"Amérique",IF(OR(ISNUMBER(SEARCH("chinois",B359)),ISNUMBER(SEARCH("japonais",B359)),ISNUMBER(SEARCH("coréen",B359)),ISNUMBER(SEARCH("indien",B359)),ISNUMBER(SEARCH("persan",B359)),ISNUMBER(SEARCH("iranien",B359))),"Asie","(non classée)"))))</f>
        <v/>
      </c>
    </row>
    <row r="360">
      <c r="A360" s="2" t="inlineStr">
        <is>
          <t>HIÉRONYMUS  BOSCH</t>
        </is>
      </c>
      <c r="B360" s="2" t="inlineStr">
        <is>
          <t>hollandaise (Pays-Bas)</t>
        </is>
      </c>
      <c r="C360" s="2" t="inlineStr">
        <is>
          <t>peinture</t>
        </is>
      </c>
      <c r="D360" s="2" t="inlineStr">
        <is>
          <t>16e</t>
        </is>
      </c>
      <c r="U360">
        <f>IF(ISNUMBER(SEARCH("fran",B360)),"France",IF(OR(ISNUMBER(SEARCH("italien",B360)),ISNUMBER(SEARCH("espagn",B360)),ISNUMBER(SEARCH("catalan",B360)),ISNUMBER(SEARCH("flamand",B360)),ISNUMBER(SEARCH("belge",B360)),ISNUMBER(SEARCH("hollandais",B360)),ISNUMBER(SEARCH("néerlandais",B360)),ISNUMBER(SEARCH("allemand",B360)),ISNUMBER(SEARCH("autrichien",B360)),ISNUMBER(SEARCH("suisse",B360)),ISNUMBER(SEARCH("anglais",B360)),ISNUMBER(SEARCH("britannique",B360)),ISNUMBER(SEARCH("écossais",B360)),ISNUMBER(SEARCH("irlandais",B360)),ISNUMBER(SEARCH("russe",B360)),ISNUMBER(SEARCH("portugais",B360)),ISNUMBER(SEARCH("danois",B360)),ISNUMBER(SEARCH("norvégien",B360)),ISNUMBER(SEARCH("suédois",B360)),ISNUMBER(SEARCH("finlandais",B360)),ISNUMBER(SEARCH("polonais",B360)),ISNUMBER(SEARCH("tchèque",B360)),ISNUMBER(SEARCH("hongrois",B360)),ISNUMBER(SEARCH("grec",B360)),ISNUMBER(SEARCH("byzantin",B360)),ISNUMBER(SEARCH("croate",B360)),ISNUMBER(SEARCH("ukrainien",B360)),ISNUMBER(SEARCH("bulgare",B360)),ISNUMBER(SEARCH("biélorusse",B360)),ISNUMBER(SEARCH("maltais",B360))),"Autres pays d'Europe",IF(OR(ISNUMBER(SEARCH("américain",B360)),ISNUMBER(SEARCH("mexicain",B360)),ISNUMBER(SEARCH("canadien",B360)),ISNUMBER(SEARCH("brésilien",B360)),ISNUMBER(SEARCH("argentin",B360))),"Amérique",IF(OR(ISNUMBER(SEARCH("chinois",B360)),ISNUMBER(SEARCH("japonais",B360)),ISNUMBER(SEARCH("coréen",B360)),ISNUMBER(SEARCH("indien",B360)),ISNUMBER(SEARCH("persan",B360)),ISNUMBER(SEARCH("iranien",B360))),"Asie","(non classée)"))))</f>
        <v/>
      </c>
    </row>
    <row r="361">
      <c r="A361" s="2" t="inlineStr">
        <is>
          <t>HONORÉ DAUMIER</t>
        </is>
      </c>
      <c r="B361" s="2" t="inlineStr">
        <is>
          <t>française</t>
        </is>
      </c>
      <c r="C361" s="2" t="inlineStr">
        <is>
          <t>peinture</t>
        </is>
      </c>
      <c r="D361" s="2" t="inlineStr">
        <is>
          <t>19e</t>
        </is>
      </c>
      <c r="U361">
        <f>IF(ISNUMBER(SEARCH("fran",B361)),"France",IF(OR(ISNUMBER(SEARCH("italien",B361)),ISNUMBER(SEARCH("espagn",B361)),ISNUMBER(SEARCH("catalan",B361)),ISNUMBER(SEARCH("flamand",B361)),ISNUMBER(SEARCH("belge",B361)),ISNUMBER(SEARCH("hollandais",B361)),ISNUMBER(SEARCH("néerlandais",B361)),ISNUMBER(SEARCH("allemand",B361)),ISNUMBER(SEARCH("autrichien",B361)),ISNUMBER(SEARCH("suisse",B361)),ISNUMBER(SEARCH("anglais",B361)),ISNUMBER(SEARCH("britannique",B361)),ISNUMBER(SEARCH("écossais",B361)),ISNUMBER(SEARCH("irlandais",B361)),ISNUMBER(SEARCH("russe",B361)),ISNUMBER(SEARCH("portugais",B361)),ISNUMBER(SEARCH("danois",B361)),ISNUMBER(SEARCH("norvégien",B361)),ISNUMBER(SEARCH("suédois",B361)),ISNUMBER(SEARCH("finlandais",B361)),ISNUMBER(SEARCH("polonais",B361)),ISNUMBER(SEARCH("tchèque",B361)),ISNUMBER(SEARCH("hongrois",B361)),ISNUMBER(SEARCH("grec",B361)),ISNUMBER(SEARCH("byzantin",B361)),ISNUMBER(SEARCH("croate",B361)),ISNUMBER(SEARCH("ukrainien",B361)),ISNUMBER(SEARCH("bulgare",B361)),ISNUMBER(SEARCH("biélorusse",B361)),ISNUMBER(SEARCH("maltais",B361))),"Autres pays d'Europe",IF(OR(ISNUMBER(SEARCH("américain",B361)),ISNUMBER(SEARCH("mexicain",B361)),ISNUMBER(SEARCH("canadien",B361)),ISNUMBER(SEARCH("brésilien",B361)),ISNUMBER(SEARCH("argentin",B361))),"Amérique",IF(OR(ISNUMBER(SEARCH("chinois",B361)),ISNUMBER(SEARCH("japonais",B361)),ISNUMBER(SEARCH("coréen",B361)),ISNUMBER(SEARCH("indien",B361)),ISNUMBER(SEARCH("persan",B361)),ISNUMBER(SEARCH("iranien",B361))),"Asie","(non classée)"))))</f>
        <v/>
      </c>
    </row>
    <row r="362">
      <c r="A362" s="2" t="inlineStr">
        <is>
          <t>HUA YAN</t>
        </is>
      </c>
      <c r="B362" s="2" t="inlineStr">
        <is>
          <t>chinoise</t>
        </is>
      </c>
      <c r="C362" s="2" t="inlineStr">
        <is>
          <t>peinture</t>
        </is>
      </c>
      <c r="D362" s="2" t="inlineStr">
        <is>
          <t>18e</t>
        </is>
      </c>
      <c r="U362">
        <f>IF(ISNUMBER(SEARCH("fran",B362)),"France",IF(OR(ISNUMBER(SEARCH("italien",B362)),ISNUMBER(SEARCH("espagn",B362)),ISNUMBER(SEARCH("catalan",B362)),ISNUMBER(SEARCH("flamand",B362)),ISNUMBER(SEARCH("belge",B362)),ISNUMBER(SEARCH("hollandais",B362)),ISNUMBER(SEARCH("néerlandais",B362)),ISNUMBER(SEARCH("allemand",B362)),ISNUMBER(SEARCH("autrichien",B362)),ISNUMBER(SEARCH("suisse",B362)),ISNUMBER(SEARCH("anglais",B362)),ISNUMBER(SEARCH("britannique",B362)),ISNUMBER(SEARCH("écossais",B362)),ISNUMBER(SEARCH("irlandais",B362)),ISNUMBER(SEARCH("russe",B362)),ISNUMBER(SEARCH("portugais",B362)),ISNUMBER(SEARCH("danois",B362)),ISNUMBER(SEARCH("norvégien",B362)),ISNUMBER(SEARCH("suédois",B362)),ISNUMBER(SEARCH("finlandais",B362)),ISNUMBER(SEARCH("polonais",B362)),ISNUMBER(SEARCH("tchèque",B362)),ISNUMBER(SEARCH("hongrois",B362)),ISNUMBER(SEARCH("grec",B362)),ISNUMBER(SEARCH("byzantin",B362)),ISNUMBER(SEARCH("croate",B362)),ISNUMBER(SEARCH("ukrainien",B362)),ISNUMBER(SEARCH("bulgare",B362)),ISNUMBER(SEARCH("biélorusse",B362)),ISNUMBER(SEARCH("maltais",B362))),"Autres pays d'Europe",IF(OR(ISNUMBER(SEARCH("américain",B362)),ISNUMBER(SEARCH("mexicain",B362)),ISNUMBER(SEARCH("canadien",B362)),ISNUMBER(SEARCH("brésilien",B362)),ISNUMBER(SEARCH("argentin",B362))),"Amérique",IF(OR(ISNUMBER(SEARCH("chinois",B362)),ISNUMBER(SEARCH("japonais",B362)),ISNUMBER(SEARCH("coréen",B362)),ISNUMBER(SEARCH("indien",B362)),ISNUMBER(SEARCH("persan",B362)),ISNUMBER(SEARCH("iranien",B362))),"Asie","(non classée)"))))</f>
        <v/>
      </c>
    </row>
    <row r="363">
      <c r="A363" s="2" t="inlineStr">
        <is>
          <t>HUANG GONGWANG</t>
        </is>
      </c>
      <c r="B363" s="2" t="inlineStr">
        <is>
          <t>chinoise</t>
        </is>
      </c>
      <c r="C363" s="2" t="inlineStr">
        <is>
          <t>peinture</t>
        </is>
      </c>
      <c r="D363" s="2" t="inlineStr">
        <is>
          <t>14e</t>
        </is>
      </c>
      <c r="U363">
        <f>IF(ISNUMBER(SEARCH("fran",B363)),"France",IF(OR(ISNUMBER(SEARCH("italien",B363)),ISNUMBER(SEARCH("espagn",B363)),ISNUMBER(SEARCH("catalan",B363)),ISNUMBER(SEARCH("flamand",B363)),ISNUMBER(SEARCH("belge",B363)),ISNUMBER(SEARCH("hollandais",B363)),ISNUMBER(SEARCH("néerlandais",B363)),ISNUMBER(SEARCH("allemand",B363)),ISNUMBER(SEARCH("autrichien",B363)),ISNUMBER(SEARCH("suisse",B363)),ISNUMBER(SEARCH("anglais",B363)),ISNUMBER(SEARCH("britannique",B363)),ISNUMBER(SEARCH("écossais",B363)),ISNUMBER(SEARCH("irlandais",B363)),ISNUMBER(SEARCH("russe",B363)),ISNUMBER(SEARCH("portugais",B363)),ISNUMBER(SEARCH("danois",B363)),ISNUMBER(SEARCH("norvégien",B363)),ISNUMBER(SEARCH("suédois",B363)),ISNUMBER(SEARCH("finlandais",B363)),ISNUMBER(SEARCH("polonais",B363)),ISNUMBER(SEARCH("tchèque",B363)),ISNUMBER(SEARCH("hongrois",B363)),ISNUMBER(SEARCH("grec",B363)),ISNUMBER(SEARCH("byzantin",B363)),ISNUMBER(SEARCH("croate",B363)),ISNUMBER(SEARCH("ukrainien",B363)),ISNUMBER(SEARCH("bulgare",B363)),ISNUMBER(SEARCH("biélorusse",B363)),ISNUMBER(SEARCH("maltais",B363))),"Autres pays d'Europe",IF(OR(ISNUMBER(SEARCH("américain",B363)),ISNUMBER(SEARCH("mexicain",B363)),ISNUMBER(SEARCH("canadien",B363)),ISNUMBER(SEARCH("brésilien",B363)),ISNUMBER(SEARCH("argentin",B363))),"Amérique",IF(OR(ISNUMBER(SEARCH("chinois",B363)),ISNUMBER(SEARCH("japonais",B363)),ISNUMBER(SEARCH("coréen",B363)),ISNUMBER(SEARCH("indien",B363)),ISNUMBER(SEARCH("persan",B363)),ISNUMBER(SEARCH("iranien",B363))),"Asie","(non classée)"))))</f>
        <v/>
      </c>
    </row>
    <row r="364">
      <c r="A364" s="2" t="inlineStr">
        <is>
          <t>HUBERT GERHARD</t>
        </is>
      </c>
      <c r="B364" s="2" t="inlineStr">
        <is>
          <t>allemande</t>
        </is>
      </c>
      <c r="C364" s="2" t="inlineStr">
        <is>
          <t>sculpture</t>
        </is>
      </c>
      <c r="D364" s="2" t="inlineStr">
        <is>
          <t>16e</t>
        </is>
      </c>
      <c r="U364">
        <f>IF(ISNUMBER(SEARCH("fran",B364)),"France",IF(OR(ISNUMBER(SEARCH("italien",B364)),ISNUMBER(SEARCH("espagn",B364)),ISNUMBER(SEARCH("catalan",B364)),ISNUMBER(SEARCH("flamand",B364)),ISNUMBER(SEARCH("belge",B364)),ISNUMBER(SEARCH("hollandais",B364)),ISNUMBER(SEARCH("néerlandais",B364)),ISNUMBER(SEARCH("allemand",B364)),ISNUMBER(SEARCH("autrichien",B364)),ISNUMBER(SEARCH("suisse",B364)),ISNUMBER(SEARCH("anglais",B364)),ISNUMBER(SEARCH("britannique",B364)),ISNUMBER(SEARCH("écossais",B364)),ISNUMBER(SEARCH("irlandais",B364)),ISNUMBER(SEARCH("russe",B364)),ISNUMBER(SEARCH("portugais",B364)),ISNUMBER(SEARCH("danois",B364)),ISNUMBER(SEARCH("norvégien",B364)),ISNUMBER(SEARCH("suédois",B364)),ISNUMBER(SEARCH("finlandais",B364)),ISNUMBER(SEARCH("polonais",B364)),ISNUMBER(SEARCH("tchèque",B364)),ISNUMBER(SEARCH("hongrois",B364)),ISNUMBER(SEARCH("grec",B364)),ISNUMBER(SEARCH("byzantin",B364)),ISNUMBER(SEARCH("croate",B364)),ISNUMBER(SEARCH("ukrainien",B364)),ISNUMBER(SEARCH("bulgare",B364)),ISNUMBER(SEARCH("biélorusse",B364)),ISNUMBER(SEARCH("maltais",B364))),"Autres pays d'Europe",IF(OR(ISNUMBER(SEARCH("américain",B364)),ISNUMBER(SEARCH("mexicain",B364)),ISNUMBER(SEARCH("canadien",B364)),ISNUMBER(SEARCH("brésilien",B364)),ISNUMBER(SEARCH("argentin",B364))),"Amérique",IF(OR(ISNUMBER(SEARCH("chinois",B364)),ISNUMBER(SEARCH("japonais",B364)),ISNUMBER(SEARCH("coréen",B364)),ISNUMBER(SEARCH("indien",B364)),ISNUMBER(SEARCH("persan",B364)),ISNUMBER(SEARCH("iranien",B364))),"Asie","(non classée)"))))</f>
        <v/>
      </c>
    </row>
    <row r="365">
      <c r="A365" s="2" t="inlineStr">
        <is>
          <t>HUBERT ROBERT</t>
        </is>
      </c>
      <c r="B365" s="2" t="inlineStr">
        <is>
          <t>française</t>
        </is>
      </c>
      <c r="C365" s="2" t="inlineStr">
        <is>
          <t>peinture</t>
        </is>
      </c>
      <c r="D365" s="2" t="inlineStr">
        <is>
          <t>18e</t>
        </is>
      </c>
      <c r="U365">
        <f>IF(ISNUMBER(SEARCH("fran",B365)),"France",IF(OR(ISNUMBER(SEARCH("italien",B365)),ISNUMBER(SEARCH("espagn",B365)),ISNUMBER(SEARCH("catalan",B365)),ISNUMBER(SEARCH("flamand",B365)),ISNUMBER(SEARCH("belge",B365)),ISNUMBER(SEARCH("hollandais",B365)),ISNUMBER(SEARCH("néerlandais",B365)),ISNUMBER(SEARCH("allemand",B365)),ISNUMBER(SEARCH("autrichien",B365)),ISNUMBER(SEARCH("suisse",B365)),ISNUMBER(SEARCH("anglais",B365)),ISNUMBER(SEARCH("britannique",B365)),ISNUMBER(SEARCH("écossais",B365)),ISNUMBER(SEARCH("irlandais",B365)),ISNUMBER(SEARCH("russe",B365)),ISNUMBER(SEARCH("portugais",B365)),ISNUMBER(SEARCH("danois",B365)),ISNUMBER(SEARCH("norvégien",B365)),ISNUMBER(SEARCH("suédois",B365)),ISNUMBER(SEARCH("finlandais",B365)),ISNUMBER(SEARCH("polonais",B365)),ISNUMBER(SEARCH("tchèque",B365)),ISNUMBER(SEARCH("hongrois",B365)),ISNUMBER(SEARCH("grec",B365)),ISNUMBER(SEARCH("byzantin",B365)),ISNUMBER(SEARCH("croate",B365)),ISNUMBER(SEARCH("ukrainien",B365)),ISNUMBER(SEARCH("bulgare",B365)),ISNUMBER(SEARCH("biélorusse",B365)),ISNUMBER(SEARCH("maltais",B365))),"Autres pays d'Europe",IF(OR(ISNUMBER(SEARCH("américain",B365)),ISNUMBER(SEARCH("mexicain",B365)),ISNUMBER(SEARCH("canadien",B365)),ISNUMBER(SEARCH("brésilien",B365)),ISNUMBER(SEARCH("argentin",B365))),"Amérique",IF(OR(ISNUMBER(SEARCH("chinois",B365)),ISNUMBER(SEARCH("japonais",B365)),ISNUMBER(SEARCH("coréen",B365)),ISNUMBER(SEARCH("indien",B365)),ISNUMBER(SEARCH("persan",B365)),ISNUMBER(SEARCH("iranien",B365))),"Asie","(non classée)"))))</f>
        <v/>
      </c>
    </row>
    <row r="366">
      <c r="A366" s="2" t="inlineStr">
        <is>
          <t>HUGO VAN DER GOES</t>
        </is>
      </c>
      <c r="B366" s="2" t="inlineStr">
        <is>
          <t>flamande (Belgique)</t>
        </is>
      </c>
      <c r="C366" s="2" t="inlineStr">
        <is>
          <t>peinture</t>
        </is>
      </c>
      <c r="D366" s="2" t="inlineStr">
        <is>
          <t>15e</t>
        </is>
      </c>
      <c r="U366">
        <f>IF(ISNUMBER(SEARCH("fran",B366)),"France",IF(OR(ISNUMBER(SEARCH("italien",B366)),ISNUMBER(SEARCH("espagn",B366)),ISNUMBER(SEARCH("catalan",B366)),ISNUMBER(SEARCH("flamand",B366)),ISNUMBER(SEARCH("belge",B366)),ISNUMBER(SEARCH("hollandais",B366)),ISNUMBER(SEARCH("néerlandais",B366)),ISNUMBER(SEARCH("allemand",B366)),ISNUMBER(SEARCH("autrichien",B366)),ISNUMBER(SEARCH("suisse",B366)),ISNUMBER(SEARCH("anglais",B366)),ISNUMBER(SEARCH("britannique",B366)),ISNUMBER(SEARCH("écossais",B366)),ISNUMBER(SEARCH("irlandais",B366)),ISNUMBER(SEARCH("russe",B366)),ISNUMBER(SEARCH("portugais",B366)),ISNUMBER(SEARCH("danois",B366)),ISNUMBER(SEARCH("norvégien",B366)),ISNUMBER(SEARCH("suédois",B366)),ISNUMBER(SEARCH("finlandais",B366)),ISNUMBER(SEARCH("polonais",B366)),ISNUMBER(SEARCH("tchèque",B366)),ISNUMBER(SEARCH("hongrois",B366)),ISNUMBER(SEARCH("grec",B366)),ISNUMBER(SEARCH("byzantin",B366)),ISNUMBER(SEARCH("croate",B366)),ISNUMBER(SEARCH("ukrainien",B366)),ISNUMBER(SEARCH("bulgare",B366)),ISNUMBER(SEARCH("biélorusse",B366)),ISNUMBER(SEARCH("maltais",B366))),"Autres pays d'Europe",IF(OR(ISNUMBER(SEARCH("américain",B366)),ISNUMBER(SEARCH("mexicain",B366)),ISNUMBER(SEARCH("canadien",B366)),ISNUMBER(SEARCH("brésilien",B366)),ISNUMBER(SEARCH("argentin",B366))),"Amérique",IF(OR(ISNUMBER(SEARCH("chinois",B366)),ISNUMBER(SEARCH("japonais",B366)),ISNUMBER(SEARCH("coréen",B366)),ISNUMBER(SEARCH("indien",B366)),ISNUMBER(SEARCH("persan",B366)),ISNUMBER(SEARCH("iranien",B366))),"Asie","(non classée)"))))</f>
        <v/>
      </c>
    </row>
    <row r="367">
      <c r="A367" s="2" t="inlineStr">
        <is>
          <t>HYACINTHE RIGAUD</t>
        </is>
      </c>
      <c r="B367" s="2" t="inlineStr">
        <is>
          <t>française</t>
        </is>
      </c>
      <c r="C367" s="2" t="inlineStr">
        <is>
          <t>peinture</t>
        </is>
      </c>
      <c r="D367" s="2" t="inlineStr">
        <is>
          <t>17e, 18e</t>
        </is>
      </c>
      <c r="U367">
        <f>IF(ISNUMBER(SEARCH("fran",B367)),"France",IF(OR(ISNUMBER(SEARCH("italien",B367)),ISNUMBER(SEARCH("espagn",B367)),ISNUMBER(SEARCH("catalan",B367)),ISNUMBER(SEARCH("flamand",B367)),ISNUMBER(SEARCH("belge",B367)),ISNUMBER(SEARCH("hollandais",B367)),ISNUMBER(SEARCH("néerlandais",B367)),ISNUMBER(SEARCH("allemand",B367)),ISNUMBER(SEARCH("autrichien",B367)),ISNUMBER(SEARCH("suisse",B367)),ISNUMBER(SEARCH("anglais",B367)),ISNUMBER(SEARCH("britannique",B367)),ISNUMBER(SEARCH("écossais",B367)),ISNUMBER(SEARCH("irlandais",B367)),ISNUMBER(SEARCH("russe",B367)),ISNUMBER(SEARCH("portugais",B367)),ISNUMBER(SEARCH("danois",B367)),ISNUMBER(SEARCH("norvégien",B367)),ISNUMBER(SEARCH("suédois",B367)),ISNUMBER(SEARCH("finlandais",B367)),ISNUMBER(SEARCH("polonais",B367)),ISNUMBER(SEARCH("tchèque",B367)),ISNUMBER(SEARCH("hongrois",B367)),ISNUMBER(SEARCH("grec",B367)),ISNUMBER(SEARCH("byzantin",B367)),ISNUMBER(SEARCH("croate",B367)),ISNUMBER(SEARCH("ukrainien",B367)),ISNUMBER(SEARCH("bulgare",B367)),ISNUMBER(SEARCH("biélorusse",B367)),ISNUMBER(SEARCH("maltais",B367))),"Autres pays d'Europe",IF(OR(ISNUMBER(SEARCH("américain",B367)),ISNUMBER(SEARCH("mexicain",B367)),ISNUMBER(SEARCH("canadien",B367)),ISNUMBER(SEARCH("brésilien",B367)),ISNUMBER(SEARCH("argentin",B367))),"Amérique",IF(OR(ISNUMBER(SEARCH("chinois",B367)),ISNUMBER(SEARCH("japonais",B367)),ISNUMBER(SEARCH("coréen",B367)),ISNUMBER(SEARCH("indien",B367)),ISNUMBER(SEARCH("persan",B367)),ISNUMBER(SEARCH("iranien",B367))),"Asie","(non classée)"))))</f>
        <v/>
      </c>
    </row>
    <row r="368">
      <c r="A368" s="2" t="inlineStr">
        <is>
          <t>IGNAZ GÜNTHER</t>
        </is>
      </c>
      <c r="B368" s="2" t="inlineStr">
        <is>
          <t>allemande</t>
        </is>
      </c>
      <c r="C368" s="2" t="inlineStr">
        <is>
          <t>sculpture</t>
        </is>
      </c>
      <c r="D368" s="2" t="inlineStr">
        <is>
          <t>18e</t>
        </is>
      </c>
      <c r="U368">
        <f>IF(ISNUMBER(SEARCH("fran",B368)),"France",IF(OR(ISNUMBER(SEARCH("italien",B368)),ISNUMBER(SEARCH("espagn",B368)),ISNUMBER(SEARCH("catalan",B368)),ISNUMBER(SEARCH("flamand",B368)),ISNUMBER(SEARCH("belge",B368)),ISNUMBER(SEARCH("hollandais",B368)),ISNUMBER(SEARCH("néerlandais",B368)),ISNUMBER(SEARCH("allemand",B368)),ISNUMBER(SEARCH("autrichien",B368)),ISNUMBER(SEARCH("suisse",B368)),ISNUMBER(SEARCH("anglais",B368)),ISNUMBER(SEARCH("britannique",B368)),ISNUMBER(SEARCH("écossais",B368)),ISNUMBER(SEARCH("irlandais",B368)),ISNUMBER(SEARCH("russe",B368)),ISNUMBER(SEARCH("portugais",B368)),ISNUMBER(SEARCH("danois",B368)),ISNUMBER(SEARCH("norvégien",B368)),ISNUMBER(SEARCH("suédois",B368)),ISNUMBER(SEARCH("finlandais",B368)),ISNUMBER(SEARCH("polonais",B368)),ISNUMBER(SEARCH("tchèque",B368)),ISNUMBER(SEARCH("hongrois",B368)),ISNUMBER(SEARCH("grec",B368)),ISNUMBER(SEARCH("byzantin",B368)),ISNUMBER(SEARCH("croate",B368)),ISNUMBER(SEARCH("ukrainien",B368)),ISNUMBER(SEARCH("bulgare",B368)),ISNUMBER(SEARCH("biélorusse",B368)),ISNUMBER(SEARCH("maltais",B368))),"Autres pays d'Europe",IF(OR(ISNUMBER(SEARCH("américain",B368)),ISNUMBER(SEARCH("mexicain",B368)),ISNUMBER(SEARCH("canadien",B368)),ISNUMBER(SEARCH("brésilien",B368)),ISNUMBER(SEARCH("argentin",B368))),"Amérique",IF(OR(ISNUMBER(SEARCH("chinois",B368)),ISNUMBER(SEARCH("japonais",B368)),ISNUMBER(SEARCH("coréen",B368)),ISNUMBER(SEARCH("indien",B368)),ISNUMBER(SEARCH("persan",B368)),ISNUMBER(SEARCH("iranien",B368))),"Asie","(non classée)"))))</f>
        <v/>
      </c>
    </row>
    <row r="369">
      <c r="A369" s="2" t="inlineStr">
        <is>
          <t>IL SODOMA</t>
        </is>
      </c>
      <c r="B369" s="2" t="inlineStr">
        <is>
          <t>italienne</t>
        </is>
      </c>
      <c r="C369" s="2" t="inlineStr">
        <is>
          <t>peinture</t>
        </is>
      </c>
      <c r="D369" s="2" t="inlineStr">
        <is>
          <t>16e</t>
        </is>
      </c>
      <c r="U369">
        <f>IF(ISNUMBER(SEARCH("fran",B369)),"France",IF(OR(ISNUMBER(SEARCH("italien",B369)),ISNUMBER(SEARCH("espagn",B369)),ISNUMBER(SEARCH("catalan",B369)),ISNUMBER(SEARCH("flamand",B369)),ISNUMBER(SEARCH("belge",B369)),ISNUMBER(SEARCH("hollandais",B369)),ISNUMBER(SEARCH("néerlandais",B369)),ISNUMBER(SEARCH("allemand",B369)),ISNUMBER(SEARCH("autrichien",B369)),ISNUMBER(SEARCH("suisse",B369)),ISNUMBER(SEARCH("anglais",B369)),ISNUMBER(SEARCH("britannique",B369)),ISNUMBER(SEARCH("écossais",B369)),ISNUMBER(SEARCH("irlandais",B369)),ISNUMBER(SEARCH("russe",B369)),ISNUMBER(SEARCH("portugais",B369)),ISNUMBER(SEARCH("danois",B369)),ISNUMBER(SEARCH("norvégien",B369)),ISNUMBER(SEARCH("suédois",B369)),ISNUMBER(SEARCH("finlandais",B369)),ISNUMBER(SEARCH("polonais",B369)),ISNUMBER(SEARCH("tchèque",B369)),ISNUMBER(SEARCH("hongrois",B369)),ISNUMBER(SEARCH("grec",B369)),ISNUMBER(SEARCH("byzantin",B369)),ISNUMBER(SEARCH("croate",B369)),ISNUMBER(SEARCH("ukrainien",B369)),ISNUMBER(SEARCH("bulgare",B369)),ISNUMBER(SEARCH("biélorusse",B369)),ISNUMBER(SEARCH("maltais",B369))),"Autres pays d'Europe",IF(OR(ISNUMBER(SEARCH("américain",B369)),ISNUMBER(SEARCH("mexicain",B369)),ISNUMBER(SEARCH("canadien",B369)),ISNUMBER(SEARCH("brésilien",B369)),ISNUMBER(SEARCH("argentin",B369))),"Amérique",IF(OR(ISNUMBER(SEARCH("chinois",B369)),ISNUMBER(SEARCH("japonais",B369)),ISNUMBER(SEARCH("coréen",B369)),ISNUMBER(SEARCH("indien",B369)),ISNUMBER(SEARCH("persan",B369)),ISNUMBER(SEARCH("iranien",B369))),"Asie","(non classée)"))))</f>
        <v/>
      </c>
    </row>
    <row r="370">
      <c r="A370" s="2" t="inlineStr">
        <is>
          <t>ILYA REPINE</t>
        </is>
      </c>
      <c r="B370" s="2" t="inlineStr">
        <is>
          <t>russe</t>
        </is>
      </c>
      <c r="C370" s="2" t="inlineStr">
        <is>
          <t>peinture</t>
        </is>
      </c>
      <c r="D370" s="2" t="inlineStr">
        <is>
          <t>19e</t>
        </is>
      </c>
      <c r="U370">
        <f>IF(ISNUMBER(SEARCH("fran",B370)),"France",IF(OR(ISNUMBER(SEARCH("italien",B370)),ISNUMBER(SEARCH("espagn",B370)),ISNUMBER(SEARCH("catalan",B370)),ISNUMBER(SEARCH("flamand",B370)),ISNUMBER(SEARCH("belge",B370)),ISNUMBER(SEARCH("hollandais",B370)),ISNUMBER(SEARCH("néerlandais",B370)),ISNUMBER(SEARCH("allemand",B370)),ISNUMBER(SEARCH("autrichien",B370)),ISNUMBER(SEARCH("suisse",B370)),ISNUMBER(SEARCH("anglais",B370)),ISNUMBER(SEARCH("britannique",B370)),ISNUMBER(SEARCH("écossais",B370)),ISNUMBER(SEARCH("irlandais",B370)),ISNUMBER(SEARCH("russe",B370)),ISNUMBER(SEARCH("portugais",B370)),ISNUMBER(SEARCH("danois",B370)),ISNUMBER(SEARCH("norvégien",B370)),ISNUMBER(SEARCH("suédois",B370)),ISNUMBER(SEARCH("finlandais",B370)),ISNUMBER(SEARCH("polonais",B370)),ISNUMBER(SEARCH("tchèque",B370)),ISNUMBER(SEARCH("hongrois",B370)),ISNUMBER(SEARCH("grec",B370)),ISNUMBER(SEARCH("byzantin",B370)),ISNUMBER(SEARCH("croate",B370)),ISNUMBER(SEARCH("ukrainien",B370)),ISNUMBER(SEARCH("bulgare",B370)),ISNUMBER(SEARCH("biélorusse",B370)),ISNUMBER(SEARCH("maltais",B370))),"Autres pays d'Europe",IF(OR(ISNUMBER(SEARCH("américain",B370)),ISNUMBER(SEARCH("mexicain",B370)),ISNUMBER(SEARCH("canadien",B370)),ISNUMBER(SEARCH("brésilien",B370)),ISNUMBER(SEARCH("argentin",B370))),"Amérique",IF(OR(ISNUMBER(SEARCH("chinois",B370)),ISNUMBER(SEARCH("japonais",B370)),ISNUMBER(SEARCH("coréen",B370)),ISNUMBER(SEARCH("indien",B370)),ISNUMBER(SEARCH("persan",B370)),ISNUMBER(SEARCH("iranien",B370))),"Asie","(non classée)"))))</f>
        <v/>
      </c>
    </row>
    <row r="371">
      <c r="A371" s="2" t="inlineStr">
        <is>
          <t>ITŌ JAKUCHŪ</t>
        </is>
      </c>
      <c r="B371" s="2" t="inlineStr">
        <is>
          <t>japonaise</t>
        </is>
      </c>
      <c r="C371" s="2" t="inlineStr">
        <is>
          <t>peinture</t>
        </is>
      </c>
      <c r="D371" s="2" t="inlineStr">
        <is>
          <t>18e</t>
        </is>
      </c>
      <c r="U371">
        <f>IF(ISNUMBER(SEARCH("fran",B371)),"France",IF(OR(ISNUMBER(SEARCH("italien",B371)),ISNUMBER(SEARCH("espagn",B371)),ISNUMBER(SEARCH("catalan",B371)),ISNUMBER(SEARCH("flamand",B371)),ISNUMBER(SEARCH("belge",B371)),ISNUMBER(SEARCH("hollandais",B371)),ISNUMBER(SEARCH("néerlandais",B371)),ISNUMBER(SEARCH("allemand",B371)),ISNUMBER(SEARCH("autrichien",B371)),ISNUMBER(SEARCH("suisse",B371)),ISNUMBER(SEARCH("anglais",B371)),ISNUMBER(SEARCH("britannique",B371)),ISNUMBER(SEARCH("écossais",B371)),ISNUMBER(SEARCH("irlandais",B371)),ISNUMBER(SEARCH("russe",B371)),ISNUMBER(SEARCH("portugais",B371)),ISNUMBER(SEARCH("danois",B371)),ISNUMBER(SEARCH("norvégien",B371)),ISNUMBER(SEARCH("suédois",B371)),ISNUMBER(SEARCH("finlandais",B371)),ISNUMBER(SEARCH("polonais",B371)),ISNUMBER(SEARCH("tchèque",B371)),ISNUMBER(SEARCH("hongrois",B371)),ISNUMBER(SEARCH("grec",B371)),ISNUMBER(SEARCH("byzantin",B371)),ISNUMBER(SEARCH("croate",B371)),ISNUMBER(SEARCH("ukrainien",B371)),ISNUMBER(SEARCH("bulgare",B371)),ISNUMBER(SEARCH("biélorusse",B371)),ISNUMBER(SEARCH("maltais",B371))),"Autres pays d'Europe",IF(OR(ISNUMBER(SEARCH("américain",B371)),ISNUMBER(SEARCH("mexicain",B371)),ISNUMBER(SEARCH("canadien",B371)),ISNUMBER(SEARCH("brésilien",B371)),ISNUMBER(SEARCH("argentin",B371))),"Amérique",IF(OR(ISNUMBER(SEARCH("chinois",B371)),ISNUMBER(SEARCH("japonais",B371)),ISNUMBER(SEARCH("coréen",B371)),ISNUMBER(SEARCH("indien",B371)),ISNUMBER(SEARCH("persan",B371)),ISNUMBER(SEARCH("iranien",B371))),"Asie","(non classée)"))))</f>
        <v/>
      </c>
    </row>
    <row r="372">
      <c r="A372" s="2" t="inlineStr">
        <is>
          <t>J. M. W. TURNER</t>
        </is>
      </c>
      <c r="B372" s="2" t="inlineStr">
        <is>
          <t>anglaise (Royaume-Uni)</t>
        </is>
      </c>
      <c r="C372" s="2" t="inlineStr">
        <is>
          <t>peinture</t>
        </is>
      </c>
      <c r="D372" s="2" t="inlineStr">
        <is>
          <t>19e</t>
        </is>
      </c>
      <c r="U372">
        <f>IF(ISNUMBER(SEARCH("fran",B372)),"France",IF(OR(ISNUMBER(SEARCH("italien",B372)),ISNUMBER(SEARCH("espagn",B372)),ISNUMBER(SEARCH("catalan",B372)),ISNUMBER(SEARCH("flamand",B372)),ISNUMBER(SEARCH("belge",B372)),ISNUMBER(SEARCH("hollandais",B372)),ISNUMBER(SEARCH("néerlandais",B372)),ISNUMBER(SEARCH("allemand",B372)),ISNUMBER(SEARCH("autrichien",B372)),ISNUMBER(SEARCH("suisse",B372)),ISNUMBER(SEARCH("anglais",B372)),ISNUMBER(SEARCH("britannique",B372)),ISNUMBER(SEARCH("écossais",B372)),ISNUMBER(SEARCH("irlandais",B372)),ISNUMBER(SEARCH("russe",B372)),ISNUMBER(SEARCH("portugais",B372)),ISNUMBER(SEARCH("danois",B372)),ISNUMBER(SEARCH("norvégien",B372)),ISNUMBER(SEARCH("suédois",B372)),ISNUMBER(SEARCH("finlandais",B372)),ISNUMBER(SEARCH("polonais",B372)),ISNUMBER(SEARCH("tchèque",B372)),ISNUMBER(SEARCH("hongrois",B372)),ISNUMBER(SEARCH("grec",B372)),ISNUMBER(SEARCH("byzantin",B372)),ISNUMBER(SEARCH("croate",B372)),ISNUMBER(SEARCH("ukrainien",B372)),ISNUMBER(SEARCH("bulgare",B372)),ISNUMBER(SEARCH("biélorusse",B372)),ISNUMBER(SEARCH("maltais",B372))),"Autres pays d'Europe",IF(OR(ISNUMBER(SEARCH("américain",B372)),ISNUMBER(SEARCH("mexicain",B372)),ISNUMBER(SEARCH("canadien",B372)),ISNUMBER(SEARCH("brésilien",B372)),ISNUMBER(SEARCH("argentin",B372))),"Amérique",IF(OR(ISNUMBER(SEARCH("chinois",B372)),ISNUMBER(SEARCH("japonais",B372)),ISNUMBER(SEARCH("coréen",B372)),ISNUMBER(SEARCH("indien",B372)),ISNUMBER(SEARCH("persan",B372)),ISNUMBER(SEARCH("iranien",B372))),"Asie","(non classée)"))))</f>
        <v/>
      </c>
    </row>
    <row r="373">
      <c r="A373" s="2" t="inlineStr">
        <is>
          <t>JACOB JORDAENS</t>
        </is>
      </c>
      <c r="B373" s="2" t="inlineStr">
        <is>
          <t>flamande (Belgique)</t>
        </is>
      </c>
      <c r="C373" s="2" t="inlineStr">
        <is>
          <t>peinture</t>
        </is>
      </c>
      <c r="D373" s="2" t="inlineStr">
        <is>
          <t>17e</t>
        </is>
      </c>
      <c r="U373">
        <f>IF(ISNUMBER(SEARCH("fran",B373)),"France",IF(OR(ISNUMBER(SEARCH("italien",B373)),ISNUMBER(SEARCH("espagn",B373)),ISNUMBER(SEARCH("catalan",B373)),ISNUMBER(SEARCH("flamand",B373)),ISNUMBER(SEARCH("belge",B373)),ISNUMBER(SEARCH("hollandais",B373)),ISNUMBER(SEARCH("néerlandais",B373)),ISNUMBER(SEARCH("allemand",B373)),ISNUMBER(SEARCH("autrichien",B373)),ISNUMBER(SEARCH("suisse",B373)),ISNUMBER(SEARCH("anglais",B373)),ISNUMBER(SEARCH("britannique",B373)),ISNUMBER(SEARCH("écossais",B373)),ISNUMBER(SEARCH("irlandais",B373)),ISNUMBER(SEARCH("russe",B373)),ISNUMBER(SEARCH("portugais",B373)),ISNUMBER(SEARCH("danois",B373)),ISNUMBER(SEARCH("norvégien",B373)),ISNUMBER(SEARCH("suédois",B373)),ISNUMBER(SEARCH("finlandais",B373)),ISNUMBER(SEARCH("polonais",B373)),ISNUMBER(SEARCH("tchèque",B373)),ISNUMBER(SEARCH("hongrois",B373)),ISNUMBER(SEARCH("grec",B373)),ISNUMBER(SEARCH("byzantin",B373)),ISNUMBER(SEARCH("croate",B373)),ISNUMBER(SEARCH("ukrainien",B373)),ISNUMBER(SEARCH("bulgare",B373)),ISNUMBER(SEARCH("biélorusse",B373)),ISNUMBER(SEARCH("maltais",B373))),"Autres pays d'Europe",IF(OR(ISNUMBER(SEARCH("américain",B373)),ISNUMBER(SEARCH("mexicain",B373)),ISNUMBER(SEARCH("canadien",B373)),ISNUMBER(SEARCH("brésilien",B373)),ISNUMBER(SEARCH("argentin",B373))),"Amérique",IF(OR(ISNUMBER(SEARCH("chinois",B373)),ISNUMBER(SEARCH("japonais",B373)),ISNUMBER(SEARCH("coréen",B373)),ISNUMBER(SEARCH("indien",B373)),ISNUMBER(SEARCH("persan",B373)),ISNUMBER(SEARCH("iranien",B373))),"Asie","(non classée)"))))</f>
        <v/>
      </c>
    </row>
    <row r="374">
      <c r="A374" s="2" t="inlineStr">
        <is>
          <t>JACOB VAN RUISDAEL</t>
        </is>
      </c>
      <c r="B374" s="2" t="inlineStr">
        <is>
          <t>hollandaise (Pays-Bas)</t>
        </is>
      </c>
      <c r="C374" s="2" t="inlineStr">
        <is>
          <t>peinture</t>
        </is>
      </c>
      <c r="D374" s="2" t="inlineStr">
        <is>
          <t>17e</t>
        </is>
      </c>
      <c r="U374">
        <f>IF(ISNUMBER(SEARCH("fran",B374)),"France",IF(OR(ISNUMBER(SEARCH("italien",B374)),ISNUMBER(SEARCH("espagn",B374)),ISNUMBER(SEARCH("catalan",B374)),ISNUMBER(SEARCH("flamand",B374)),ISNUMBER(SEARCH("belge",B374)),ISNUMBER(SEARCH("hollandais",B374)),ISNUMBER(SEARCH("néerlandais",B374)),ISNUMBER(SEARCH("allemand",B374)),ISNUMBER(SEARCH("autrichien",B374)),ISNUMBER(SEARCH("suisse",B374)),ISNUMBER(SEARCH("anglais",B374)),ISNUMBER(SEARCH("britannique",B374)),ISNUMBER(SEARCH("écossais",B374)),ISNUMBER(SEARCH("irlandais",B374)),ISNUMBER(SEARCH("russe",B374)),ISNUMBER(SEARCH("portugais",B374)),ISNUMBER(SEARCH("danois",B374)),ISNUMBER(SEARCH("norvégien",B374)),ISNUMBER(SEARCH("suédois",B374)),ISNUMBER(SEARCH("finlandais",B374)),ISNUMBER(SEARCH("polonais",B374)),ISNUMBER(SEARCH("tchèque",B374)),ISNUMBER(SEARCH("hongrois",B374)),ISNUMBER(SEARCH("grec",B374)),ISNUMBER(SEARCH("byzantin",B374)),ISNUMBER(SEARCH("croate",B374)),ISNUMBER(SEARCH("ukrainien",B374)),ISNUMBER(SEARCH("bulgare",B374)),ISNUMBER(SEARCH("biélorusse",B374)),ISNUMBER(SEARCH("maltais",B374))),"Autres pays d'Europe",IF(OR(ISNUMBER(SEARCH("américain",B374)),ISNUMBER(SEARCH("mexicain",B374)),ISNUMBER(SEARCH("canadien",B374)),ISNUMBER(SEARCH("brésilien",B374)),ISNUMBER(SEARCH("argentin",B374))),"Amérique",IF(OR(ISNUMBER(SEARCH("chinois",B374)),ISNUMBER(SEARCH("japonais",B374)),ISNUMBER(SEARCH("coréen",B374)),ISNUMBER(SEARCH("indien",B374)),ISNUMBER(SEARCH("persan",B374)),ISNUMBER(SEARCH("iranien",B374))),"Asie","(non classée)"))))</f>
        <v/>
      </c>
    </row>
    <row r="375">
      <c r="A375" s="2" t="inlineStr">
        <is>
          <t>JACOPO BASSANO</t>
        </is>
      </c>
      <c r="B375" s="2" t="inlineStr">
        <is>
          <t>italienne</t>
        </is>
      </c>
      <c r="C375" s="2" t="inlineStr">
        <is>
          <t>peinture</t>
        </is>
      </c>
      <c r="D375" s="2" t="inlineStr">
        <is>
          <t>16e</t>
        </is>
      </c>
      <c r="U375">
        <f>IF(ISNUMBER(SEARCH("fran",B375)),"France",IF(OR(ISNUMBER(SEARCH("italien",B375)),ISNUMBER(SEARCH("espagn",B375)),ISNUMBER(SEARCH("catalan",B375)),ISNUMBER(SEARCH("flamand",B375)),ISNUMBER(SEARCH("belge",B375)),ISNUMBER(SEARCH("hollandais",B375)),ISNUMBER(SEARCH("néerlandais",B375)),ISNUMBER(SEARCH("allemand",B375)),ISNUMBER(SEARCH("autrichien",B375)),ISNUMBER(SEARCH("suisse",B375)),ISNUMBER(SEARCH("anglais",B375)),ISNUMBER(SEARCH("britannique",B375)),ISNUMBER(SEARCH("écossais",B375)),ISNUMBER(SEARCH("irlandais",B375)),ISNUMBER(SEARCH("russe",B375)),ISNUMBER(SEARCH("portugais",B375)),ISNUMBER(SEARCH("danois",B375)),ISNUMBER(SEARCH("norvégien",B375)),ISNUMBER(SEARCH("suédois",B375)),ISNUMBER(SEARCH("finlandais",B375)),ISNUMBER(SEARCH("polonais",B375)),ISNUMBER(SEARCH("tchèque",B375)),ISNUMBER(SEARCH("hongrois",B375)),ISNUMBER(SEARCH("grec",B375)),ISNUMBER(SEARCH("byzantin",B375)),ISNUMBER(SEARCH("croate",B375)),ISNUMBER(SEARCH("ukrainien",B375)),ISNUMBER(SEARCH("bulgare",B375)),ISNUMBER(SEARCH("biélorusse",B375)),ISNUMBER(SEARCH("maltais",B375))),"Autres pays d'Europe",IF(OR(ISNUMBER(SEARCH("américain",B375)),ISNUMBER(SEARCH("mexicain",B375)),ISNUMBER(SEARCH("canadien",B375)),ISNUMBER(SEARCH("brésilien",B375)),ISNUMBER(SEARCH("argentin",B375))),"Amérique",IF(OR(ISNUMBER(SEARCH("chinois",B375)),ISNUMBER(SEARCH("japonais",B375)),ISNUMBER(SEARCH("coréen",B375)),ISNUMBER(SEARCH("indien",B375)),ISNUMBER(SEARCH("persan",B375)),ISNUMBER(SEARCH("iranien",B375))),"Asie","(non classée)"))))</f>
        <v/>
      </c>
    </row>
    <row r="376">
      <c r="A376" s="2" t="inlineStr">
        <is>
          <t>JACOPO PONTORMO</t>
        </is>
      </c>
      <c r="B376" s="2" t="inlineStr">
        <is>
          <t>italienne</t>
        </is>
      </c>
      <c r="C376" s="2" t="inlineStr">
        <is>
          <t>peinture</t>
        </is>
      </c>
      <c r="D376" s="2" t="inlineStr">
        <is>
          <t>16e</t>
        </is>
      </c>
      <c r="U376">
        <f>IF(ISNUMBER(SEARCH("fran",B376)),"France",IF(OR(ISNUMBER(SEARCH("italien",B376)),ISNUMBER(SEARCH("espagn",B376)),ISNUMBER(SEARCH("catalan",B376)),ISNUMBER(SEARCH("flamand",B376)),ISNUMBER(SEARCH("belge",B376)),ISNUMBER(SEARCH("hollandais",B376)),ISNUMBER(SEARCH("néerlandais",B376)),ISNUMBER(SEARCH("allemand",B376)),ISNUMBER(SEARCH("autrichien",B376)),ISNUMBER(SEARCH("suisse",B376)),ISNUMBER(SEARCH("anglais",B376)),ISNUMBER(SEARCH("britannique",B376)),ISNUMBER(SEARCH("écossais",B376)),ISNUMBER(SEARCH("irlandais",B376)),ISNUMBER(SEARCH("russe",B376)),ISNUMBER(SEARCH("portugais",B376)),ISNUMBER(SEARCH("danois",B376)),ISNUMBER(SEARCH("norvégien",B376)),ISNUMBER(SEARCH("suédois",B376)),ISNUMBER(SEARCH("finlandais",B376)),ISNUMBER(SEARCH("polonais",B376)),ISNUMBER(SEARCH("tchèque",B376)),ISNUMBER(SEARCH("hongrois",B376)),ISNUMBER(SEARCH("grec",B376)),ISNUMBER(SEARCH("byzantin",B376)),ISNUMBER(SEARCH("croate",B376)),ISNUMBER(SEARCH("ukrainien",B376)),ISNUMBER(SEARCH("bulgare",B376)),ISNUMBER(SEARCH("biélorusse",B376)),ISNUMBER(SEARCH("maltais",B376))),"Autres pays d'Europe",IF(OR(ISNUMBER(SEARCH("américain",B376)),ISNUMBER(SEARCH("mexicain",B376)),ISNUMBER(SEARCH("canadien",B376)),ISNUMBER(SEARCH("brésilien",B376)),ISNUMBER(SEARCH("argentin",B376))),"Amérique",IF(OR(ISNUMBER(SEARCH("chinois",B376)),ISNUMBER(SEARCH("japonais",B376)),ISNUMBER(SEARCH("coréen",B376)),ISNUMBER(SEARCH("indien",B376)),ISNUMBER(SEARCH("persan",B376)),ISNUMBER(SEARCH("iranien",B376))),"Asie","(non classée)"))))</f>
        <v/>
      </c>
    </row>
    <row r="377">
      <c r="A377" s="2" t="inlineStr">
        <is>
          <t>JACOPO SANSOVINO</t>
        </is>
      </c>
      <c r="B377" s="2" t="inlineStr">
        <is>
          <t>italienne</t>
        </is>
      </c>
      <c r="C377" s="2" t="inlineStr">
        <is>
          <t>sculpture</t>
        </is>
      </c>
      <c r="D377" s="2" t="inlineStr">
        <is>
          <t>16e</t>
        </is>
      </c>
      <c r="U377">
        <f>IF(ISNUMBER(SEARCH("fran",B377)),"France",IF(OR(ISNUMBER(SEARCH("italien",B377)),ISNUMBER(SEARCH("espagn",B377)),ISNUMBER(SEARCH("catalan",B377)),ISNUMBER(SEARCH("flamand",B377)),ISNUMBER(SEARCH("belge",B377)),ISNUMBER(SEARCH("hollandais",B377)),ISNUMBER(SEARCH("néerlandais",B377)),ISNUMBER(SEARCH("allemand",B377)),ISNUMBER(SEARCH("autrichien",B377)),ISNUMBER(SEARCH("suisse",B377)),ISNUMBER(SEARCH("anglais",B377)),ISNUMBER(SEARCH("britannique",B377)),ISNUMBER(SEARCH("écossais",B377)),ISNUMBER(SEARCH("irlandais",B377)),ISNUMBER(SEARCH("russe",B377)),ISNUMBER(SEARCH("portugais",B377)),ISNUMBER(SEARCH("danois",B377)),ISNUMBER(SEARCH("norvégien",B377)),ISNUMBER(SEARCH("suédois",B377)),ISNUMBER(SEARCH("finlandais",B377)),ISNUMBER(SEARCH("polonais",B377)),ISNUMBER(SEARCH("tchèque",B377)),ISNUMBER(SEARCH("hongrois",B377)),ISNUMBER(SEARCH("grec",B377)),ISNUMBER(SEARCH("byzantin",B377)),ISNUMBER(SEARCH("croate",B377)),ISNUMBER(SEARCH("ukrainien",B377)),ISNUMBER(SEARCH("bulgare",B377)),ISNUMBER(SEARCH("biélorusse",B377)),ISNUMBER(SEARCH("maltais",B377))),"Autres pays d'Europe",IF(OR(ISNUMBER(SEARCH("américain",B377)),ISNUMBER(SEARCH("mexicain",B377)),ISNUMBER(SEARCH("canadien",B377)),ISNUMBER(SEARCH("brésilien",B377)),ISNUMBER(SEARCH("argentin",B377))),"Amérique",IF(OR(ISNUMBER(SEARCH("chinois",B377)),ISNUMBER(SEARCH("japonais",B377)),ISNUMBER(SEARCH("coréen",B377)),ISNUMBER(SEARCH("indien",B377)),ISNUMBER(SEARCH("persan",B377)),ISNUMBER(SEARCH("iranien",B377))),"Asie","(non classée)"))))</f>
        <v/>
      </c>
    </row>
    <row r="378">
      <c r="A378" s="2" t="inlineStr">
        <is>
          <t>JACOPO DELLA QUERCIA</t>
        </is>
      </c>
      <c r="B378" s="2" t="inlineStr">
        <is>
          <t>italienne</t>
        </is>
      </c>
      <c r="C378" s="2" t="inlineStr">
        <is>
          <t>sculpture</t>
        </is>
      </c>
      <c r="D378" s="2" t="inlineStr">
        <is>
          <t>15e</t>
        </is>
      </c>
      <c r="U378">
        <f>IF(ISNUMBER(SEARCH("fran",B378)),"France",IF(OR(ISNUMBER(SEARCH("italien",B378)),ISNUMBER(SEARCH("espagn",B378)),ISNUMBER(SEARCH("catalan",B378)),ISNUMBER(SEARCH("flamand",B378)),ISNUMBER(SEARCH("belge",B378)),ISNUMBER(SEARCH("hollandais",B378)),ISNUMBER(SEARCH("néerlandais",B378)),ISNUMBER(SEARCH("allemand",B378)),ISNUMBER(SEARCH("autrichien",B378)),ISNUMBER(SEARCH("suisse",B378)),ISNUMBER(SEARCH("anglais",B378)),ISNUMBER(SEARCH("britannique",B378)),ISNUMBER(SEARCH("écossais",B378)),ISNUMBER(SEARCH("irlandais",B378)),ISNUMBER(SEARCH("russe",B378)),ISNUMBER(SEARCH("portugais",B378)),ISNUMBER(SEARCH("danois",B378)),ISNUMBER(SEARCH("norvégien",B378)),ISNUMBER(SEARCH("suédois",B378)),ISNUMBER(SEARCH("finlandais",B378)),ISNUMBER(SEARCH("polonais",B378)),ISNUMBER(SEARCH("tchèque",B378)),ISNUMBER(SEARCH("hongrois",B378)),ISNUMBER(SEARCH("grec",B378)),ISNUMBER(SEARCH("byzantin",B378)),ISNUMBER(SEARCH("croate",B378)),ISNUMBER(SEARCH("ukrainien",B378)),ISNUMBER(SEARCH("bulgare",B378)),ISNUMBER(SEARCH("biélorusse",B378)),ISNUMBER(SEARCH("maltais",B378))),"Autres pays d'Europe",IF(OR(ISNUMBER(SEARCH("américain",B378)),ISNUMBER(SEARCH("mexicain",B378)),ISNUMBER(SEARCH("canadien",B378)),ISNUMBER(SEARCH("brésilien",B378)),ISNUMBER(SEARCH("argentin",B378))),"Amérique",IF(OR(ISNUMBER(SEARCH("chinois",B378)),ISNUMBER(SEARCH("japonais",B378)),ISNUMBER(SEARCH("coréen",B378)),ISNUMBER(SEARCH("indien",B378)),ISNUMBER(SEARCH("persan",B378)),ISNUMBER(SEARCH("iranien",B378))),"Asie","(non classée)"))))</f>
        <v/>
      </c>
    </row>
    <row r="379">
      <c r="A379" s="2" t="inlineStr">
        <is>
          <t>JACOPO DI CIONE</t>
        </is>
      </c>
      <c r="B379" s="2" t="inlineStr">
        <is>
          <t>italienne</t>
        </is>
      </c>
      <c r="C379" s="2" t="inlineStr">
        <is>
          <t>peinture</t>
        </is>
      </c>
      <c r="D379" s="2" t="inlineStr">
        <is>
          <t>14e</t>
        </is>
      </c>
      <c r="U379">
        <f>IF(ISNUMBER(SEARCH("fran",B379)),"France",IF(OR(ISNUMBER(SEARCH("italien",B379)),ISNUMBER(SEARCH("espagn",B379)),ISNUMBER(SEARCH("catalan",B379)),ISNUMBER(SEARCH("flamand",B379)),ISNUMBER(SEARCH("belge",B379)),ISNUMBER(SEARCH("hollandais",B379)),ISNUMBER(SEARCH("néerlandais",B379)),ISNUMBER(SEARCH("allemand",B379)),ISNUMBER(SEARCH("autrichien",B379)),ISNUMBER(SEARCH("suisse",B379)),ISNUMBER(SEARCH("anglais",B379)),ISNUMBER(SEARCH("britannique",B379)),ISNUMBER(SEARCH("écossais",B379)),ISNUMBER(SEARCH("irlandais",B379)),ISNUMBER(SEARCH("russe",B379)),ISNUMBER(SEARCH("portugais",B379)),ISNUMBER(SEARCH("danois",B379)),ISNUMBER(SEARCH("norvégien",B379)),ISNUMBER(SEARCH("suédois",B379)),ISNUMBER(SEARCH("finlandais",B379)),ISNUMBER(SEARCH("polonais",B379)),ISNUMBER(SEARCH("tchèque",B379)),ISNUMBER(SEARCH("hongrois",B379)),ISNUMBER(SEARCH("grec",B379)),ISNUMBER(SEARCH("byzantin",B379)),ISNUMBER(SEARCH("croate",B379)),ISNUMBER(SEARCH("ukrainien",B379)),ISNUMBER(SEARCH("bulgare",B379)),ISNUMBER(SEARCH("biélorusse",B379)),ISNUMBER(SEARCH("maltais",B379))),"Autres pays d'Europe",IF(OR(ISNUMBER(SEARCH("américain",B379)),ISNUMBER(SEARCH("mexicain",B379)),ISNUMBER(SEARCH("canadien",B379)),ISNUMBER(SEARCH("brésilien",B379)),ISNUMBER(SEARCH("argentin",B379))),"Amérique",IF(OR(ISNUMBER(SEARCH("chinois",B379)),ISNUMBER(SEARCH("japonais",B379)),ISNUMBER(SEARCH("coréen",B379)),ISNUMBER(SEARCH("indien",B379)),ISNUMBER(SEARCH("persan",B379)),ISNUMBER(SEARCH("iranien",B379))),"Asie","(non classée)"))))</f>
        <v/>
      </c>
    </row>
    <row r="380">
      <c r="A380" s="2" t="inlineStr">
        <is>
          <t>JACQUES DUBROEUCQ</t>
        </is>
      </c>
      <c r="B380" s="2" t="inlineStr">
        <is>
          <t>flamande (Belgique)</t>
        </is>
      </c>
      <c r="C380" s="2" t="inlineStr">
        <is>
          <t>sculpture</t>
        </is>
      </c>
      <c r="D380" s="2" t="inlineStr">
        <is>
          <t>16e</t>
        </is>
      </c>
      <c r="U380">
        <f>IF(ISNUMBER(SEARCH("fran",B380)),"France",IF(OR(ISNUMBER(SEARCH("italien",B380)),ISNUMBER(SEARCH("espagn",B380)),ISNUMBER(SEARCH("catalan",B380)),ISNUMBER(SEARCH("flamand",B380)),ISNUMBER(SEARCH("belge",B380)),ISNUMBER(SEARCH("hollandais",B380)),ISNUMBER(SEARCH("néerlandais",B380)),ISNUMBER(SEARCH("allemand",B380)),ISNUMBER(SEARCH("autrichien",B380)),ISNUMBER(SEARCH("suisse",B380)),ISNUMBER(SEARCH("anglais",B380)),ISNUMBER(SEARCH("britannique",B380)),ISNUMBER(SEARCH("écossais",B380)),ISNUMBER(SEARCH("irlandais",B380)),ISNUMBER(SEARCH("russe",B380)),ISNUMBER(SEARCH("portugais",B380)),ISNUMBER(SEARCH("danois",B380)),ISNUMBER(SEARCH("norvégien",B380)),ISNUMBER(SEARCH("suédois",B380)),ISNUMBER(SEARCH("finlandais",B380)),ISNUMBER(SEARCH("polonais",B380)),ISNUMBER(SEARCH("tchèque",B380)),ISNUMBER(SEARCH("hongrois",B380)),ISNUMBER(SEARCH("grec",B380)),ISNUMBER(SEARCH("byzantin",B380)),ISNUMBER(SEARCH("croate",B380)),ISNUMBER(SEARCH("ukrainien",B380)),ISNUMBER(SEARCH("bulgare",B380)),ISNUMBER(SEARCH("biélorusse",B380)),ISNUMBER(SEARCH("maltais",B380))),"Autres pays d'Europe",IF(OR(ISNUMBER(SEARCH("américain",B380)),ISNUMBER(SEARCH("mexicain",B380)),ISNUMBER(SEARCH("canadien",B380)),ISNUMBER(SEARCH("brésilien",B380)),ISNUMBER(SEARCH("argentin",B380))),"Amérique",IF(OR(ISNUMBER(SEARCH("chinois",B380)),ISNUMBER(SEARCH("japonais",B380)),ISNUMBER(SEARCH("coréen",B380)),ISNUMBER(SEARCH("indien",B380)),ISNUMBER(SEARCH("persan",B380)),ISNUMBER(SEARCH("iranien",B380))),"Asie","(non classée)"))))</f>
        <v/>
      </c>
    </row>
    <row r="381">
      <c r="A381" s="2" t="inlineStr">
        <is>
          <t>JACQUES SALY</t>
        </is>
      </c>
      <c r="B381" s="2" t="inlineStr">
        <is>
          <t>française</t>
        </is>
      </c>
      <c r="C381" s="2" t="inlineStr">
        <is>
          <t>sculpture</t>
        </is>
      </c>
      <c r="D381" s="2" t="inlineStr">
        <is>
          <t>18e</t>
        </is>
      </c>
      <c r="U381">
        <f>IF(ISNUMBER(SEARCH("fran",B381)),"France",IF(OR(ISNUMBER(SEARCH("italien",B381)),ISNUMBER(SEARCH("espagn",B381)),ISNUMBER(SEARCH("catalan",B381)),ISNUMBER(SEARCH("flamand",B381)),ISNUMBER(SEARCH("belge",B381)),ISNUMBER(SEARCH("hollandais",B381)),ISNUMBER(SEARCH("néerlandais",B381)),ISNUMBER(SEARCH("allemand",B381)),ISNUMBER(SEARCH("autrichien",B381)),ISNUMBER(SEARCH("suisse",B381)),ISNUMBER(SEARCH("anglais",B381)),ISNUMBER(SEARCH("britannique",B381)),ISNUMBER(SEARCH("écossais",B381)),ISNUMBER(SEARCH("irlandais",B381)),ISNUMBER(SEARCH("russe",B381)),ISNUMBER(SEARCH("portugais",B381)),ISNUMBER(SEARCH("danois",B381)),ISNUMBER(SEARCH("norvégien",B381)),ISNUMBER(SEARCH("suédois",B381)),ISNUMBER(SEARCH("finlandais",B381)),ISNUMBER(SEARCH("polonais",B381)),ISNUMBER(SEARCH("tchèque",B381)),ISNUMBER(SEARCH("hongrois",B381)),ISNUMBER(SEARCH("grec",B381)),ISNUMBER(SEARCH("byzantin",B381)),ISNUMBER(SEARCH("croate",B381)),ISNUMBER(SEARCH("ukrainien",B381)),ISNUMBER(SEARCH("bulgare",B381)),ISNUMBER(SEARCH("biélorusse",B381)),ISNUMBER(SEARCH("maltais",B381))),"Autres pays d'Europe",IF(OR(ISNUMBER(SEARCH("américain",B381)),ISNUMBER(SEARCH("mexicain",B381)),ISNUMBER(SEARCH("canadien",B381)),ISNUMBER(SEARCH("brésilien",B381)),ISNUMBER(SEARCH("argentin",B381))),"Amérique",IF(OR(ISNUMBER(SEARCH("chinois",B381)),ISNUMBER(SEARCH("japonais",B381)),ISNUMBER(SEARCH("coréen",B381)),ISNUMBER(SEARCH("indien",B381)),ISNUMBER(SEARCH("persan",B381)),ISNUMBER(SEARCH("iranien",B381))),"Asie","(non classée)"))))</f>
        <v/>
      </c>
    </row>
    <row r="382">
      <c r="A382" s="2" t="inlineStr">
        <is>
          <t>JACQUES SARRAZIN</t>
        </is>
      </c>
      <c r="B382" s="2" t="inlineStr">
        <is>
          <t>française</t>
        </is>
      </c>
      <c r="C382" s="2" t="inlineStr">
        <is>
          <t>sculpture</t>
        </is>
      </c>
      <c r="D382" s="2" t="inlineStr">
        <is>
          <t>17e</t>
        </is>
      </c>
      <c r="U382">
        <f>IF(ISNUMBER(SEARCH("fran",B382)),"France",IF(OR(ISNUMBER(SEARCH("italien",B382)),ISNUMBER(SEARCH("espagn",B382)),ISNUMBER(SEARCH("catalan",B382)),ISNUMBER(SEARCH("flamand",B382)),ISNUMBER(SEARCH("belge",B382)),ISNUMBER(SEARCH("hollandais",B382)),ISNUMBER(SEARCH("néerlandais",B382)),ISNUMBER(SEARCH("allemand",B382)),ISNUMBER(SEARCH("autrichien",B382)),ISNUMBER(SEARCH("suisse",B382)),ISNUMBER(SEARCH("anglais",B382)),ISNUMBER(SEARCH("britannique",B382)),ISNUMBER(SEARCH("écossais",B382)),ISNUMBER(SEARCH("irlandais",B382)),ISNUMBER(SEARCH("russe",B382)),ISNUMBER(SEARCH("portugais",B382)),ISNUMBER(SEARCH("danois",B382)),ISNUMBER(SEARCH("norvégien",B382)),ISNUMBER(SEARCH("suédois",B382)),ISNUMBER(SEARCH("finlandais",B382)),ISNUMBER(SEARCH("polonais",B382)),ISNUMBER(SEARCH("tchèque",B382)),ISNUMBER(SEARCH("hongrois",B382)),ISNUMBER(SEARCH("grec",B382)),ISNUMBER(SEARCH("byzantin",B382)),ISNUMBER(SEARCH("croate",B382)),ISNUMBER(SEARCH("ukrainien",B382)),ISNUMBER(SEARCH("bulgare",B382)),ISNUMBER(SEARCH("biélorusse",B382)),ISNUMBER(SEARCH("maltais",B382))),"Autres pays d'Europe",IF(OR(ISNUMBER(SEARCH("américain",B382)),ISNUMBER(SEARCH("mexicain",B382)),ISNUMBER(SEARCH("canadien",B382)),ISNUMBER(SEARCH("brésilien",B382)),ISNUMBER(SEARCH("argentin",B382))),"Amérique",IF(OR(ISNUMBER(SEARCH("chinois",B382)),ISNUMBER(SEARCH("japonais",B382)),ISNUMBER(SEARCH("coréen",B382)),ISNUMBER(SEARCH("indien",B382)),ISNUMBER(SEARCH("persan",B382)),ISNUMBER(SEARCH("iranien",B382))),"Asie","(non classée)"))))</f>
        <v/>
      </c>
    </row>
    <row r="383">
      <c r="A383" s="2" t="inlineStr">
        <is>
          <t>JACQUES-LOUIS DAVID</t>
        </is>
      </c>
      <c r="B383" s="2" t="inlineStr">
        <is>
          <t>française</t>
        </is>
      </c>
      <c r="C383" s="2" t="inlineStr">
        <is>
          <t>peinture</t>
        </is>
      </c>
      <c r="D383" s="2" t="inlineStr">
        <is>
          <t>18e, 19e</t>
        </is>
      </c>
      <c r="U383">
        <f>IF(ISNUMBER(SEARCH("fran",B383)),"France",IF(OR(ISNUMBER(SEARCH("italien",B383)),ISNUMBER(SEARCH("espagn",B383)),ISNUMBER(SEARCH("catalan",B383)),ISNUMBER(SEARCH("flamand",B383)),ISNUMBER(SEARCH("belge",B383)),ISNUMBER(SEARCH("hollandais",B383)),ISNUMBER(SEARCH("néerlandais",B383)),ISNUMBER(SEARCH("allemand",B383)),ISNUMBER(SEARCH("autrichien",B383)),ISNUMBER(SEARCH("suisse",B383)),ISNUMBER(SEARCH("anglais",B383)),ISNUMBER(SEARCH("britannique",B383)),ISNUMBER(SEARCH("écossais",B383)),ISNUMBER(SEARCH("irlandais",B383)),ISNUMBER(SEARCH("russe",B383)),ISNUMBER(SEARCH("portugais",B383)),ISNUMBER(SEARCH("danois",B383)),ISNUMBER(SEARCH("norvégien",B383)),ISNUMBER(SEARCH("suédois",B383)),ISNUMBER(SEARCH("finlandais",B383)),ISNUMBER(SEARCH("polonais",B383)),ISNUMBER(SEARCH("tchèque",B383)),ISNUMBER(SEARCH("hongrois",B383)),ISNUMBER(SEARCH("grec",B383)),ISNUMBER(SEARCH("byzantin",B383)),ISNUMBER(SEARCH("croate",B383)),ISNUMBER(SEARCH("ukrainien",B383)),ISNUMBER(SEARCH("bulgare",B383)),ISNUMBER(SEARCH("biélorusse",B383)),ISNUMBER(SEARCH("maltais",B383))),"Autres pays d'Europe",IF(OR(ISNUMBER(SEARCH("américain",B383)),ISNUMBER(SEARCH("mexicain",B383)),ISNUMBER(SEARCH("canadien",B383)),ISNUMBER(SEARCH("brésilien",B383)),ISNUMBER(SEARCH("argentin",B383))),"Amérique",IF(OR(ISNUMBER(SEARCH("chinois",B383)),ISNUMBER(SEARCH("japonais",B383)),ISNUMBER(SEARCH("coréen",B383)),ISNUMBER(SEARCH("indien",B383)),ISNUMBER(SEARCH("persan",B383)),ISNUMBER(SEARCH("iranien",B383))),"Asie","(non classée)"))))</f>
        <v/>
      </c>
    </row>
    <row r="384">
      <c r="A384" s="2" t="inlineStr">
        <is>
          <t>JAMES ENSOR</t>
        </is>
      </c>
      <c r="B384" s="2" t="inlineStr">
        <is>
          <t>flamande (Belgique)</t>
        </is>
      </c>
      <c r="C384" s="2" t="inlineStr">
        <is>
          <t>peinture</t>
        </is>
      </c>
      <c r="D384" s="2" t="inlineStr">
        <is>
          <t>19e</t>
        </is>
      </c>
      <c r="U384">
        <f>IF(ISNUMBER(SEARCH("fran",B384)),"France",IF(OR(ISNUMBER(SEARCH("italien",B384)),ISNUMBER(SEARCH("espagn",B384)),ISNUMBER(SEARCH("catalan",B384)),ISNUMBER(SEARCH("flamand",B384)),ISNUMBER(SEARCH("belge",B384)),ISNUMBER(SEARCH("hollandais",B384)),ISNUMBER(SEARCH("néerlandais",B384)),ISNUMBER(SEARCH("allemand",B384)),ISNUMBER(SEARCH("autrichien",B384)),ISNUMBER(SEARCH("suisse",B384)),ISNUMBER(SEARCH("anglais",B384)),ISNUMBER(SEARCH("britannique",B384)),ISNUMBER(SEARCH("écossais",B384)),ISNUMBER(SEARCH("irlandais",B384)),ISNUMBER(SEARCH("russe",B384)),ISNUMBER(SEARCH("portugais",B384)),ISNUMBER(SEARCH("danois",B384)),ISNUMBER(SEARCH("norvégien",B384)),ISNUMBER(SEARCH("suédois",B384)),ISNUMBER(SEARCH("finlandais",B384)),ISNUMBER(SEARCH("polonais",B384)),ISNUMBER(SEARCH("tchèque",B384)),ISNUMBER(SEARCH("hongrois",B384)),ISNUMBER(SEARCH("grec",B384)),ISNUMBER(SEARCH("byzantin",B384)),ISNUMBER(SEARCH("croate",B384)),ISNUMBER(SEARCH("ukrainien",B384)),ISNUMBER(SEARCH("bulgare",B384)),ISNUMBER(SEARCH("biélorusse",B384)),ISNUMBER(SEARCH("maltais",B384))),"Autres pays d'Europe",IF(OR(ISNUMBER(SEARCH("américain",B384)),ISNUMBER(SEARCH("mexicain",B384)),ISNUMBER(SEARCH("canadien",B384)),ISNUMBER(SEARCH("brésilien",B384)),ISNUMBER(SEARCH("argentin",B384))),"Amérique",IF(OR(ISNUMBER(SEARCH("chinois",B384)),ISNUMBER(SEARCH("japonais",B384)),ISNUMBER(SEARCH("coréen",B384)),ISNUMBER(SEARCH("indien",B384)),ISNUMBER(SEARCH("persan",B384)),ISNUMBER(SEARCH("iranien",B384))),"Asie","(non classée)"))))</f>
        <v/>
      </c>
    </row>
    <row r="385">
      <c r="A385" s="2" t="inlineStr">
        <is>
          <t>JAMES MCNEILL WHISTLER</t>
        </is>
      </c>
      <c r="B385" s="2" t="inlineStr">
        <is>
          <t>américaine</t>
        </is>
      </c>
      <c r="C385" s="2" t="inlineStr">
        <is>
          <t>peinture</t>
        </is>
      </c>
      <c r="D385" s="2" t="inlineStr">
        <is>
          <t>19e</t>
        </is>
      </c>
      <c r="U385">
        <f>IF(ISNUMBER(SEARCH("fran",B385)),"France",IF(OR(ISNUMBER(SEARCH("italien",B385)),ISNUMBER(SEARCH("espagn",B385)),ISNUMBER(SEARCH("catalan",B385)),ISNUMBER(SEARCH("flamand",B385)),ISNUMBER(SEARCH("belge",B385)),ISNUMBER(SEARCH("hollandais",B385)),ISNUMBER(SEARCH("néerlandais",B385)),ISNUMBER(SEARCH("allemand",B385)),ISNUMBER(SEARCH("autrichien",B385)),ISNUMBER(SEARCH("suisse",B385)),ISNUMBER(SEARCH("anglais",B385)),ISNUMBER(SEARCH("britannique",B385)),ISNUMBER(SEARCH("écossais",B385)),ISNUMBER(SEARCH("irlandais",B385)),ISNUMBER(SEARCH("russe",B385)),ISNUMBER(SEARCH("portugais",B385)),ISNUMBER(SEARCH("danois",B385)),ISNUMBER(SEARCH("norvégien",B385)),ISNUMBER(SEARCH("suédois",B385)),ISNUMBER(SEARCH("finlandais",B385)),ISNUMBER(SEARCH("polonais",B385)),ISNUMBER(SEARCH("tchèque",B385)),ISNUMBER(SEARCH("hongrois",B385)),ISNUMBER(SEARCH("grec",B385)),ISNUMBER(SEARCH("byzantin",B385)),ISNUMBER(SEARCH("croate",B385)),ISNUMBER(SEARCH("ukrainien",B385)),ISNUMBER(SEARCH("bulgare",B385)),ISNUMBER(SEARCH("biélorusse",B385)),ISNUMBER(SEARCH("maltais",B385))),"Autres pays d'Europe",IF(OR(ISNUMBER(SEARCH("américain",B385)),ISNUMBER(SEARCH("mexicain",B385)),ISNUMBER(SEARCH("canadien",B385)),ISNUMBER(SEARCH("brésilien",B385)),ISNUMBER(SEARCH("argentin",B385))),"Amérique",IF(OR(ISNUMBER(SEARCH("chinois",B385)),ISNUMBER(SEARCH("japonais",B385)),ISNUMBER(SEARCH("coréen",B385)),ISNUMBER(SEARCH("indien",B385)),ISNUMBER(SEARCH("persan",B385)),ISNUMBER(SEARCH("iranien",B385))),"Asie","(non classée)"))))</f>
        <v/>
      </c>
    </row>
    <row r="386">
      <c r="A386" s="2" t="inlineStr">
        <is>
          <t>JAMES PRADIER</t>
        </is>
      </c>
      <c r="B386" s="2" t="inlineStr">
        <is>
          <t>suisse</t>
        </is>
      </c>
      <c r="C386" s="2" t="inlineStr">
        <is>
          <t>sculpture</t>
        </is>
      </c>
      <c r="D386" s="2" t="inlineStr">
        <is>
          <t>19e</t>
        </is>
      </c>
      <c r="U386">
        <f>IF(ISNUMBER(SEARCH("fran",B386)),"France",IF(OR(ISNUMBER(SEARCH("italien",B386)),ISNUMBER(SEARCH("espagn",B386)),ISNUMBER(SEARCH("catalan",B386)),ISNUMBER(SEARCH("flamand",B386)),ISNUMBER(SEARCH("belge",B386)),ISNUMBER(SEARCH("hollandais",B386)),ISNUMBER(SEARCH("néerlandais",B386)),ISNUMBER(SEARCH("allemand",B386)),ISNUMBER(SEARCH("autrichien",B386)),ISNUMBER(SEARCH("suisse",B386)),ISNUMBER(SEARCH("anglais",B386)),ISNUMBER(SEARCH("britannique",B386)),ISNUMBER(SEARCH("écossais",B386)),ISNUMBER(SEARCH("irlandais",B386)),ISNUMBER(SEARCH("russe",B386)),ISNUMBER(SEARCH("portugais",B386)),ISNUMBER(SEARCH("danois",B386)),ISNUMBER(SEARCH("norvégien",B386)),ISNUMBER(SEARCH("suédois",B386)),ISNUMBER(SEARCH("finlandais",B386)),ISNUMBER(SEARCH("polonais",B386)),ISNUMBER(SEARCH("tchèque",B386)),ISNUMBER(SEARCH("hongrois",B386)),ISNUMBER(SEARCH("grec",B386)),ISNUMBER(SEARCH("byzantin",B386)),ISNUMBER(SEARCH("croate",B386)),ISNUMBER(SEARCH("ukrainien",B386)),ISNUMBER(SEARCH("bulgare",B386)),ISNUMBER(SEARCH("biélorusse",B386)),ISNUMBER(SEARCH("maltais",B386))),"Autres pays d'Europe",IF(OR(ISNUMBER(SEARCH("américain",B386)),ISNUMBER(SEARCH("mexicain",B386)),ISNUMBER(SEARCH("canadien",B386)),ISNUMBER(SEARCH("brésilien",B386)),ISNUMBER(SEARCH("argentin",B386))),"Amérique",IF(OR(ISNUMBER(SEARCH("chinois",B386)),ISNUMBER(SEARCH("japonais",B386)),ISNUMBER(SEARCH("coréen",B386)),ISNUMBER(SEARCH("indien",B386)),ISNUMBER(SEARCH("persan",B386)),ISNUMBER(SEARCH("iranien",B386))),"Asie","(non classée)"))))</f>
        <v/>
      </c>
    </row>
    <row r="387">
      <c r="A387" s="2" t="inlineStr">
        <is>
          <t>JAN GOSSAERT (MABUSE)</t>
        </is>
      </c>
      <c r="B387" s="2" t="inlineStr">
        <is>
          <t>flamande (Belgique)</t>
        </is>
      </c>
      <c r="C387" s="2" t="inlineStr">
        <is>
          <t>peinture</t>
        </is>
      </c>
      <c r="D387" s="2" t="inlineStr">
        <is>
          <t>16e</t>
        </is>
      </c>
      <c r="U387">
        <f>IF(ISNUMBER(SEARCH("fran",B387)),"France",IF(OR(ISNUMBER(SEARCH("italien",B387)),ISNUMBER(SEARCH("espagn",B387)),ISNUMBER(SEARCH("catalan",B387)),ISNUMBER(SEARCH("flamand",B387)),ISNUMBER(SEARCH("belge",B387)),ISNUMBER(SEARCH("hollandais",B387)),ISNUMBER(SEARCH("néerlandais",B387)),ISNUMBER(SEARCH("allemand",B387)),ISNUMBER(SEARCH("autrichien",B387)),ISNUMBER(SEARCH("suisse",B387)),ISNUMBER(SEARCH("anglais",B387)),ISNUMBER(SEARCH("britannique",B387)),ISNUMBER(SEARCH("écossais",B387)),ISNUMBER(SEARCH("irlandais",B387)),ISNUMBER(SEARCH("russe",B387)),ISNUMBER(SEARCH("portugais",B387)),ISNUMBER(SEARCH("danois",B387)),ISNUMBER(SEARCH("norvégien",B387)),ISNUMBER(SEARCH("suédois",B387)),ISNUMBER(SEARCH("finlandais",B387)),ISNUMBER(SEARCH("polonais",B387)),ISNUMBER(SEARCH("tchèque",B387)),ISNUMBER(SEARCH("hongrois",B387)),ISNUMBER(SEARCH("grec",B387)),ISNUMBER(SEARCH("byzantin",B387)),ISNUMBER(SEARCH("croate",B387)),ISNUMBER(SEARCH("ukrainien",B387)),ISNUMBER(SEARCH("bulgare",B387)),ISNUMBER(SEARCH("biélorusse",B387)),ISNUMBER(SEARCH("maltais",B387))),"Autres pays d'Europe",IF(OR(ISNUMBER(SEARCH("américain",B387)),ISNUMBER(SEARCH("mexicain",B387)),ISNUMBER(SEARCH("canadien",B387)),ISNUMBER(SEARCH("brésilien",B387)),ISNUMBER(SEARCH("argentin",B387))),"Amérique",IF(OR(ISNUMBER(SEARCH("chinois",B387)),ISNUMBER(SEARCH("japonais",B387)),ISNUMBER(SEARCH("coréen",B387)),ISNUMBER(SEARCH("indien",B387)),ISNUMBER(SEARCH("persan",B387)),ISNUMBER(SEARCH("iranien",B387))),"Asie","(non classée)"))))</f>
        <v/>
      </c>
    </row>
    <row r="388">
      <c r="A388" s="2" t="inlineStr">
        <is>
          <t>JAN LIEVENS</t>
        </is>
      </c>
      <c r="B388" s="2" t="inlineStr">
        <is>
          <t>hollandaise (Pays-Bas)</t>
        </is>
      </c>
      <c r="C388" s="2" t="inlineStr">
        <is>
          <t>peinture</t>
        </is>
      </c>
      <c r="D388" s="2" t="inlineStr">
        <is>
          <t>17e</t>
        </is>
      </c>
      <c r="U388">
        <f>IF(ISNUMBER(SEARCH("fran",B388)),"France",IF(OR(ISNUMBER(SEARCH("italien",B388)),ISNUMBER(SEARCH("espagn",B388)),ISNUMBER(SEARCH("catalan",B388)),ISNUMBER(SEARCH("flamand",B388)),ISNUMBER(SEARCH("belge",B388)),ISNUMBER(SEARCH("hollandais",B388)),ISNUMBER(SEARCH("néerlandais",B388)),ISNUMBER(SEARCH("allemand",B388)),ISNUMBER(SEARCH("autrichien",B388)),ISNUMBER(SEARCH("suisse",B388)),ISNUMBER(SEARCH("anglais",B388)),ISNUMBER(SEARCH("britannique",B388)),ISNUMBER(SEARCH("écossais",B388)),ISNUMBER(SEARCH("irlandais",B388)),ISNUMBER(SEARCH("russe",B388)),ISNUMBER(SEARCH("portugais",B388)),ISNUMBER(SEARCH("danois",B388)),ISNUMBER(SEARCH("norvégien",B388)),ISNUMBER(SEARCH("suédois",B388)),ISNUMBER(SEARCH("finlandais",B388)),ISNUMBER(SEARCH("polonais",B388)),ISNUMBER(SEARCH("tchèque",B388)),ISNUMBER(SEARCH("hongrois",B388)),ISNUMBER(SEARCH("grec",B388)),ISNUMBER(SEARCH("byzantin",B388)),ISNUMBER(SEARCH("croate",B388)),ISNUMBER(SEARCH("ukrainien",B388)),ISNUMBER(SEARCH("bulgare",B388)),ISNUMBER(SEARCH("biélorusse",B388)),ISNUMBER(SEARCH("maltais",B388))),"Autres pays d'Europe",IF(OR(ISNUMBER(SEARCH("américain",B388)),ISNUMBER(SEARCH("mexicain",B388)),ISNUMBER(SEARCH("canadien",B388)),ISNUMBER(SEARCH("brésilien",B388)),ISNUMBER(SEARCH("argentin",B388))),"Amérique",IF(OR(ISNUMBER(SEARCH("chinois",B388)),ISNUMBER(SEARCH("japonais",B388)),ISNUMBER(SEARCH("coréen",B388)),ISNUMBER(SEARCH("indien",B388)),ISNUMBER(SEARCH("persan",B388)),ISNUMBER(SEARCH("iranien",B388))),"Asie","(non classée)"))))</f>
        <v/>
      </c>
    </row>
    <row r="389">
      <c r="A389" s="2" t="inlineStr">
        <is>
          <t>JAN SANDERS VAN HEMESSEN</t>
        </is>
      </c>
      <c r="B389" s="2" t="inlineStr">
        <is>
          <t>flamande (Belgique)</t>
        </is>
      </c>
      <c r="C389" s="2" t="inlineStr">
        <is>
          <t>peinture</t>
        </is>
      </c>
      <c r="D389" s="2" t="inlineStr">
        <is>
          <t>16e</t>
        </is>
      </c>
      <c r="U389">
        <f>IF(ISNUMBER(SEARCH("fran",B389)),"France",IF(OR(ISNUMBER(SEARCH("italien",B389)),ISNUMBER(SEARCH("espagn",B389)),ISNUMBER(SEARCH("catalan",B389)),ISNUMBER(SEARCH("flamand",B389)),ISNUMBER(SEARCH("belge",B389)),ISNUMBER(SEARCH("hollandais",B389)),ISNUMBER(SEARCH("néerlandais",B389)),ISNUMBER(SEARCH("allemand",B389)),ISNUMBER(SEARCH("autrichien",B389)),ISNUMBER(SEARCH("suisse",B389)),ISNUMBER(SEARCH("anglais",B389)),ISNUMBER(SEARCH("britannique",B389)),ISNUMBER(SEARCH("écossais",B389)),ISNUMBER(SEARCH("irlandais",B389)),ISNUMBER(SEARCH("russe",B389)),ISNUMBER(SEARCH("portugais",B389)),ISNUMBER(SEARCH("danois",B389)),ISNUMBER(SEARCH("norvégien",B389)),ISNUMBER(SEARCH("suédois",B389)),ISNUMBER(SEARCH("finlandais",B389)),ISNUMBER(SEARCH("polonais",B389)),ISNUMBER(SEARCH("tchèque",B389)),ISNUMBER(SEARCH("hongrois",B389)),ISNUMBER(SEARCH("grec",B389)),ISNUMBER(SEARCH("byzantin",B389)),ISNUMBER(SEARCH("croate",B389)),ISNUMBER(SEARCH("ukrainien",B389)),ISNUMBER(SEARCH("bulgare",B389)),ISNUMBER(SEARCH("biélorusse",B389)),ISNUMBER(SEARCH("maltais",B389))),"Autres pays d'Europe",IF(OR(ISNUMBER(SEARCH("américain",B389)),ISNUMBER(SEARCH("mexicain",B389)),ISNUMBER(SEARCH("canadien",B389)),ISNUMBER(SEARCH("brésilien",B389)),ISNUMBER(SEARCH("argentin",B389))),"Amérique",IF(OR(ISNUMBER(SEARCH("chinois",B389)),ISNUMBER(SEARCH("japonais",B389)),ISNUMBER(SEARCH("coréen",B389)),ISNUMBER(SEARCH("indien",B389)),ISNUMBER(SEARCH("persan",B389)),ISNUMBER(SEARCH("iranien",B389))),"Asie","(non classée)"))))</f>
        <v/>
      </c>
    </row>
    <row r="390">
      <c r="A390" s="2" t="inlineStr">
        <is>
          <t>JAN STEEN</t>
        </is>
      </c>
      <c r="B390" s="2" t="inlineStr">
        <is>
          <t>hollandaise (Pays-Bas)</t>
        </is>
      </c>
      <c r="C390" s="2" t="inlineStr">
        <is>
          <t>peinture</t>
        </is>
      </c>
      <c r="D390" s="2" t="inlineStr">
        <is>
          <t>17e</t>
        </is>
      </c>
      <c r="U390">
        <f>IF(ISNUMBER(SEARCH("fran",B390)),"France",IF(OR(ISNUMBER(SEARCH("italien",B390)),ISNUMBER(SEARCH("espagn",B390)),ISNUMBER(SEARCH("catalan",B390)),ISNUMBER(SEARCH("flamand",B390)),ISNUMBER(SEARCH("belge",B390)),ISNUMBER(SEARCH("hollandais",B390)),ISNUMBER(SEARCH("néerlandais",B390)),ISNUMBER(SEARCH("allemand",B390)),ISNUMBER(SEARCH("autrichien",B390)),ISNUMBER(SEARCH("suisse",B390)),ISNUMBER(SEARCH("anglais",B390)),ISNUMBER(SEARCH("britannique",B390)),ISNUMBER(SEARCH("écossais",B390)),ISNUMBER(SEARCH("irlandais",B390)),ISNUMBER(SEARCH("russe",B390)),ISNUMBER(SEARCH("portugais",B390)),ISNUMBER(SEARCH("danois",B390)),ISNUMBER(SEARCH("norvégien",B390)),ISNUMBER(SEARCH("suédois",B390)),ISNUMBER(SEARCH("finlandais",B390)),ISNUMBER(SEARCH("polonais",B390)),ISNUMBER(SEARCH("tchèque",B390)),ISNUMBER(SEARCH("hongrois",B390)),ISNUMBER(SEARCH("grec",B390)),ISNUMBER(SEARCH("byzantin",B390)),ISNUMBER(SEARCH("croate",B390)),ISNUMBER(SEARCH("ukrainien",B390)),ISNUMBER(SEARCH("bulgare",B390)),ISNUMBER(SEARCH("biélorusse",B390)),ISNUMBER(SEARCH("maltais",B390))),"Autres pays d'Europe",IF(OR(ISNUMBER(SEARCH("américain",B390)),ISNUMBER(SEARCH("mexicain",B390)),ISNUMBER(SEARCH("canadien",B390)),ISNUMBER(SEARCH("brésilien",B390)),ISNUMBER(SEARCH("argentin",B390))),"Amérique",IF(OR(ISNUMBER(SEARCH("chinois",B390)),ISNUMBER(SEARCH("japonais",B390)),ISNUMBER(SEARCH("coréen",B390)),ISNUMBER(SEARCH("indien",B390)),ISNUMBER(SEARCH("persan",B390)),ISNUMBER(SEARCH("iranien",B390))),"Asie","(non classée)"))))</f>
        <v/>
      </c>
    </row>
    <row r="391">
      <c r="A391" s="2" t="inlineStr">
        <is>
          <t>JAN VAN EYCK</t>
        </is>
      </c>
      <c r="B391" s="2" t="inlineStr">
        <is>
          <t>hollandaise (Pays-Bas)</t>
        </is>
      </c>
      <c r="C391" s="2" t="inlineStr">
        <is>
          <t>peinture</t>
        </is>
      </c>
      <c r="D391" s="2" t="inlineStr">
        <is>
          <t>15e</t>
        </is>
      </c>
      <c r="U391">
        <f>IF(ISNUMBER(SEARCH("fran",B391)),"France",IF(OR(ISNUMBER(SEARCH("italien",B391)),ISNUMBER(SEARCH("espagn",B391)),ISNUMBER(SEARCH("catalan",B391)),ISNUMBER(SEARCH("flamand",B391)),ISNUMBER(SEARCH("belge",B391)),ISNUMBER(SEARCH("hollandais",B391)),ISNUMBER(SEARCH("néerlandais",B391)),ISNUMBER(SEARCH("allemand",B391)),ISNUMBER(SEARCH("autrichien",B391)),ISNUMBER(SEARCH("suisse",B391)),ISNUMBER(SEARCH("anglais",B391)),ISNUMBER(SEARCH("britannique",B391)),ISNUMBER(SEARCH("écossais",B391)),ISNUMBER(SEARCH("irlandais",B391)),ISNUMBER(SEARCH("russe",B391)),ISNUMBER(SEARCH("portugais",B391)),ISNUMBER(SEARCH("danois",B391)),ISNUMBER(SEARCH("norvégien",B391)),ISNUMBER(SEARCH("suédois",B391)),ISNUMBER(SEARCH("finlandais",B391)),ISNUMBER(SEARCH("polonais",B391)),ISNUMBER(SEARCH("tchèque",B391)),ISNUMBER(SEARCH("hongrois",B391)),ISNUMBER(SEARCH("grec",B391)),ISNUMBER(SEARCH("byzantin",B391)),ISNUMBER(SEARCH("croate",B391)),ISNUMBER(SEARCH("ukrainien",B391)),ISNUMBER(SEARCH("bulgare",B391)),ISNUMBER(SEARCH("biélorusse",B391)),ISNUMBER(SEARCH("maltais",B391))),"Autres pays d'Europe",IF(OR(ISNUMBER(SEARCH("américain",B391)),ISNUMBER(SEARCH("mexicain",B391)),ISNUMBER(SEARCH("canadien",B391)),ISNUMBER(SEARCH("brésilien",B391)),ISNUMBER(SEARCH("argentin",B391))),"Amérique",IF(OR(ISNUMBER(SEARCH("chinois",B391)),ISNUMBER(SEARCH("japonais",B391)),ISNUMBER(SEARCH("coréen",B391)),ISNUMBER(SEARCH("indien",B391)),ISNUMBER(SEARCH("persan",B391)),ISNUMBER(SEARCH("iranien",B391))),"Asie","(non classée)"))))</f>
        <v/>
      </c>
    </row>
    <row r="392">
      <c r="A392" s="2" t="inlineStr">
        <is>
          <t>JAN VAN GOYEN</t>
        </is>
      </c>
      <c r="B392" s="2" t="inlineStr">
        <is>
          <t>hollandaise (Pays-Bas)</t>
        </is>
      </c>
      <c r="C392" s="2" t="inlineStr">
        <is>
          <t>peinture</t>
        </is>
      </c>
      <c r="D392" s="2" t="inlineStr">
        <is>
          <t>17e</t>
        </is>
      </c>
      <c r="U392">
        <f>IF(ISNUMBER(SEARCH("fran",B392)),"France",IF(OR(ISNUMBER(SEARCH("italien",B392)),ISNUMBER(SEARCH("espagn",B392)),ISNUMBER(SEARCH("catalan",B392)),ISNUMBER(SEARCH("flamand",B392)),ISNUMBER(SEARCH("belge",B392)),ISNUMBER(SEARCH("hollandais",B392)),ISNUMBER(SEARCH("néerlandais",B392)),ISNUMBER(SEARCH("allemand",B392)),ISNUMBER(SEARCH("autrichien",B392)),ISNUMBER(SEARCH("suisse",B392)),ISNUMBER(SEARCH("anglais",B392)),ISNUMBER(SEARCH("britannique",B392)),ISNUMBER(SEARCH("écossais",B392)),ISNUMBER(SEARCH("irlandais",B392)),ISNUMBER(SEARCH("russe",B392)),ISNUMBER(SEARCH("portugais",B392)),ISNUMBER(SEARCH("danois",B392)),ISNUMBER(SEARCH("norvégien",B392)),ISNUMBER(SEARCH("suédois",B392)),ISNUMBER(SEARCH("finlandais",B392)),ISNUMBER(SEARCH("polonais",B392)),ISNUMBER(SEARCH("tchèque",B392)),ISNUMBER(SEARCH("hongrois",B392)),ISNUMBER(SEARCH("grec",B392)),ISNUMBER(SEARCH("byzantin",B392)),ISNUMBER(SEARCH("croate",B392)),ISNUMBER(SEARCH("ukrainien",B392)),ISNUMBER(SEARCH("bulgare",B392)),ISNUMBER(SEARCH("biélorusse",B392)),ISNUMBER(SEARCH("maltais",B392))),"Autres pays d'Europe",IF(OR(ISNUMBER(SEARCH("américain",B392)),ISNUMBER(SEARCH("mexicain",B392)),ISNUMBER(SEARCH("canadien",B392)),ISNUMBER(SEARCH("brésilien",B392)),ISNUMBER(SEARCH("argentin",B392))),"Amérique",IF(OR(ISNUMBER(SEARCH("chinois",B392)),ISNUMBER(SEARCH("japonais",B392)),ISNUMBER(SEARCH("coréen",B392)),ISNUMBER(SEARCH("indien",B392)),ISNUMBER(SEARCH("persan",B392)),ISNUMBER(SEARCH("iranien",B392))),"Asie","(non classée)"))))</f>
        <v/>
      </c>
    </row>
    <row r="393">
      <c r="A393" s="2" t="inlineStr">
        <is>
          <t>JAUME HUGUET</t>
        </is>
      </c>
      <c r="B393" s="2" t="inlineStr">
        <is>
          <t>catalane (Espagne)</t>
        </is>
      </c>
      <c r="C393" s="2" t="inlineStr">
        <is>
          <t>peinture</t>
        </is>
      </c>
      <c r="D393" s="2" t="inlineStr">
        <is>
          <t>15e</t>
        </is>
      </c>
      <c r="U393">
        <f>IF(ISNUMBER(SEARCH("fran",B393)),"France",IF(OR(ISNUMBER(SEARCH("italien",B393)),ISNUMBER(SEARCH("espagn",B393)),ISNUMBER(SEARCH("catalan",B393)),ISNUMBER(SEARCH("flamand",B393)),ISNUMBER(SEARCH("belge",B393)),ISNUMBER(SEARCH("hollandais",B393)),ISNUMBER(SEARCH("néerlandais",B393)),ISNUMBER(SEARCH("allemand",B393)),ISNUMBER(SEARCH("autrichien",B393)),ISNUMBER(SEARCH("suisse",B393)),ISNUMBER(SEARCH("anglais",B393)),ISNUMBER(SEARCH("britannique",B393)),ISNUMBER(SEARCH("écossais",B393)),ISNUMBER(SEARCH("irlandais",B393)),ISNUMBER(SEARCH("russe",B393)),ISNUMBER(SEARCH("portugais",B393)),ISNUMBER(SEARCH("danois",B393)),ISNUMBER(SEARCH("norvégien",B393)),ISNUMBER(SEARCH("suédois",B393)),ISNUMBER(SEARCH("finlandais",B393)),ISNUMBER(SEARCH("polonais",B393)),ISNUMBER(SEARCH("tchèque",B393)),ISNUMBER(SEARCH("hongrois",B393)),ISNUMBER(SEARCH("grec",B393)),ISNUMBER(SEARCH("byzantin",B393)),ISNUMBER(SEARCH("croate",B393)),ISNUMBER(SEARCH("ukrainien",B393)),ISNUMBER(SEARCH("bulgare",B393)),ISNUMBER(SEARCH("biélorusse",B393)),ISNUMBER(SEARCH("maltais",B393))),"Autres pays d'Europe",IF(OR(ISNUMBER(SEARCH("américain",B393)),ISNUMBER(SEARCH("mexicain",B393)),ISNUMBER(SEARCH("canadien",B393)),ISNUMBER(SEARCH("brésilien",B393)),ISNUMBER(SEARCH("argentin",B393))),"Amérique",IF(OR(ISNUMBER(SEARCH("chinois",B393)),ISNUMBER(SEARCH("japonais",B393)),ISNUMBER(SEARCH("coréen",B393)),ISNUMBER(SEARCH("indien",B393)),ISNUMBER(SEARCH("persan",B393)),ISNUMBER(SEARCH("iranien",B393))),"Asie","(non classée)"))))</f>
        <v/>
      </c>
    </row>
    <row r="394">
      <c r="A394" s="2" t="inlineStr">
        <is>
          <t>JAUME SERRA</t>
        </is>
      </c>
      <c r="B394" s="2" t="inlineStr">
        <is>
          <t>catalane (Espagne)</t>
        </is>
      </c>
      <c r="C394" s="2" t="inlineStr">
        <is>
          <t>peinture</t>
        </is>
      </c>
      <c r="D394" s="2" t="inlineStr">
        <is>
          <t>14e</t>
        </is>
      </c>
      <c r="U394">
        <f>IF(ISNUMBER(SEARCH("fran",B394)),"France",IF(OR(ISNUMBER(SEARCH("italien",B394)),ISNUMBER(SEARCH("espagn",B394)),ISNUMBER(SEARCH("catalan",B394)),ISNUMBER(SEARCH("flamand",B394)),ISNUMBER(SEARCH("belge",B394)),ISNUMBER(SEARCH("hollandais",B394)),ISNUMBER(SEARCH("néerlandais",B394)),ISNUMBER(SEARCH("allemand",B394)),ISNUMBER(SEARCH("autrichien",B394)),ISNUMBER(SEARCH("suisse",B394)),ISNUMBER(SEARCH("anglais",B394)),ISNUMBER(SEARCH("britannique",B394)),ISNUMBER(SEARCH("écossais",B394)),ISNUMBER(SEARCH("irlandais",B394)),ISNUMBER(SEARCH("russe",B394)),ISNUMBER(SEARCH("portugais",B394)),ISNUMBER(SEARCH("danois",B394)),ISNUMBER(SEARCH("norvégien",B394)),ISNUMBER(SEARCH("suédois",B394)),ISNUMBER(SEARCH("finlandais",B394)),ISNUMBER(SEARCH("polonais",B394)),ISNUMBER(SEARCH("tchèque",B394)),ISNUMBER(SEARCH("hongrois",B394)),ISNUMBER(SEARCH("grec",B394)),ISNUMBER(SEARCH("byzantin",B394)),ISNUMBER(SEARCH("croate",B394)),ISNUMBER(SEARCH("ukrainien",B394)),ISNUMBER(SEARCH("bulgare",B394)),ISNUMBER(SEARCH("biélorusse",B394)),ISNUMBER(SEARCH("maltais",B394))),"Autres pays d'Europe",IF(OR(ISNUMBER(SEARCH("américain",B394)),ISNUMBER(SEARCH("mexicain",B394)),ISNUMBER(SEARCH("canadien",B394)),ISNUMBER(SEARCH("brésilien",B394)),ISNUMBER(SEARCH("argentin",B394))),"Amérique",IF(OR(ISNUMBER(SEARCH("chinois",B394)),ISNUMBER(SEARCH("japonais",B394)),ISNUMBER(SEARCH("coréen",B394)),ISNUMBER(SEARCH("indien",B394)),ISNUMBER(SEARCH("persan",B394)),ISNUMBER(SEARCH("iranien",B394))),"Asie","(non classée)"))))</f>
        <v/>
      </c>
    </row>
    <row r="395">
      <c r="A395" s="2" t="inlineStr">
        <is>
          <t>JEAN BOURDICHON</t>
        </is>
      </c>
      <c r="B395" s="2" t="inlineStr">
        <is>
          <t>française</t>
        </is>
      </c>
      <c r="C395" s="2" t="inlineStr">
        <is>
          <t>peinture</t>
        </is>
      </c>
      <c r="D395" s="2" t="inlineStr">
        <is>
          <t>15e</t>
        </is>
      </c>
      <c r="U395">
        <f>IF(ISNUMBER(SEARCH("fran",B395)),"France",IF(OR(ISNUMBER(SEARCH("italien",B395)),ISNUMBER(SEARCH("espagn",B395)),ISNUMBER(SEARCH("catalan",B395)),ISNUMBER(SEARCH("flamand",B395)),ISNUMBER(SEARCH("belge",B395)),ISNUMBER(SEARCH("hollandais",B395)),ISNUMBER(SEARCH("néerlandais",B395)),ISNUMBER(SEARCH("allemand",B395)),ISNUMBER(SEARCH("autrichien",B395)),ISNUMBER(SEARCH("suisse",B395)),ISNUMBER(SEARCH("anglais",B395)),ISNUMBER(SEARCH("britannique",B395)),ISNUMBER(SEARCH("écossais",B395)),ISNUMBER(SEARCH("irlandais",B395)),ISNUMBER(SEARCH("russe",B395)),ISNUMBER(SEARCH("portugais",B395)),ISNUMBER(SEARCH("danois",B395)),ISNUMBER(SEARCH("norvégien",B395)),ISNUMBER(SEARCH("suédois",B395)),ISNUMBER(SEARCH("finlandais",B395)),ISNUMBER(SEARCH("polonais",B395)),ISNUMBER(SEARCH("tchèque",B395)),ISNUMBER(SEARCH("hongrois",B395)),ISNUMBER(SEARCH("grec",B395)),ISNUMBER(SEARCH("byzantin",B395)),ISNUMBER(SEARCH("croate",B395)),ISNUMBER(SEARCH("ukrainien",B395)),ISNUMBER(SEARCH("bulgare",B395)),ISNUMBER(SEARCH("biélorusse",B395)),ISNUMBER(SEARCH("maltais",B395))),"Autres pays d'Europe",IF(OR(ISNUMBER(SEARCH("américain",B395)),ISNUMBER(SEARCH("mexicain",B395)),ISNUMBER(SEARCH("canadien",B395)),ISNUMBER(SEARCH("brésilien",B395)),ISNUMBER(SEARCH("argentin",B395))),"Amérique",IF(OR(ISNUMBER(SEARCH("chinois",B395)),ISNUMBER(SEARCH("japonais",B395)),ISNUMBER(SEARCH("coréen",B395)),ISNUMBER(SEARCH("indien",B395)),ISNUMBER(SEARCH("persan",B395)),ISNUMBER(SEARCH("iranien",B395))),"Asie","(non classée)"))))</f>
        <v/>
      </c>
    </row>
    <row r="396">
      <c r="A396" s="2" t="inlineStr">
        <is>
          <t>JEAN COLOMBE</t>
        </is>
      </c>
      <c r="B396" s="2" t="inlineStr">
        <is>
          <t>française</t>
        </is>
      </c>
      <c r="C396" s="2" t="inlineStr">
        <is>
          <t>peinture</t>
        </is>
      </c>
      <c r="D396" s="2" t="inlineStr">
        <is>
          <t>15e</t>
        </is>
      </c>
      <c r="U396">
        <f>IF(ISNUMBER(SEARCH("fran",B396)),"France",IF(OR(ISNUMBER(SEARCH("italien",B396)),ISNUMBER(SEARCH("espagn",B396)),ISNUMBER(SEARCH("catalan",B396)),ISNUMBER(SEARCH("flamand",B396)),ISNUMBER(SEARCH("belge",B396)),ISNUMBER(SEARCH("hollandais",B396)),ISNUMBER(SEARCH("néerlandais",B396)),ISNUMBER(SEARCH("allemand",B396)),ISNUMBER(SEARCH("autrichien",B396)),ISNUMBER(SEARCH("suisse",B396)),ISNUMBER(SEARCH("anglais",B396)),ISNUMBER(SEARCH("britannique",B396)),ISNUMBER(SEARCH("écossais",B396)),ISNUMBER(SEARCH("irlandais",B396)),ISNUMBER(SEARCH("russe",B396)),ISNUMBER(SEARCH("portugais",B396)),ISNUMBER(SEARCH("danois",B396)),ISNUMBER(SEARCH("norvégien",B396)),ISNUMBER(SEARCH("suédois",B396)),ISNUMBER(SEARCH("finlandais",B396)),ISNUMBER(SEARCH("polonais",B396)),ISNUMBER(SEARCH("tchèque",B396)),ISNUMBER(SEARCH("hongrois",B396)),ISNUMBER(SEARCH("grec",B396)),ISNUMBER(SEARCH("byzantin",B396)),ISNUMBER(SEARCH("croate",B396)),ISNUMBER(SEARCH("ukrainien",B396)),ISNUMBER(SEARCH("bulgare",B396)),ISNUMBER(SEARCH("biélorusse",B396)),ISNUMBER(SEARCH("maltais",B396))),"Autres pays d'Europe",IF(OR(ISNUMBER(SEARCH("américain",B396)),ISNUMBER(SEARCH("mexicain",B396)),ISNUMBER(SEARCH("canadien",B396)),ISNUMBER(SEARCH("brésilien",B396)),ISNUMBER(SEARCH("argentin",B396))),"Amérique",IF(OR(ISNUMBER(SEARCH("chinois",B396)),ISNUMBER(SEARCH("japonais",B396)),ISNUMBER(SEARCH("coréen",B396)),ISNUMBER(SEARCH("indien",B396)),ISNUMBER(SEARCH("persan",B396)),ISNUMBER(SEARCH("iranien",B396))),"Asie","(non classée)"))))</f>
        <v/>
      </c>
    </row>
    <row r="397">
      <c r="A397" s="2" t="inlineStr">
        <is>
          <t>JEAN COUSIN L'ANCIEN</t>
        </is>
      </c>
      <c r="B397" s="2" t="inlineStr">
        <is>
          <t>française</t>
        </is>
      </c>
      <c r="C397" s="2" t="inlineStr">
        <is>
          <t>peinture</t>
        </is>
      </c>
      <c r="D397" s="2" t="inlineStr">
        <is>
          <t>16e</t>
        </is>
      </c>
      <c r="U397">
        <f>IF(ISNUMBER(SEARCH("fran",B397)),"France",IF(OR(ISNUMBER(SEARCH("italien",B397)),ISNUMBER(SEARCH("espagn",B397)),ISNUMBER(SEARCH("catalan",B397)),ISNUMBER(SEARCH("flamand",B397)),ISNUMBER(SEARCH("belge",B397)),ISNUMBER(SEARCH("hollandais",B397)),ISNUMBER(SEARCH("néerlandais",B397)),ISNUMBER(SEARCH("allemand",B397)),ISNUMBER(SEARCH("autrichien",B397)),ISNUMBER(SEARCH("suisse",B397)),ISNUMBER(SEARCH("anglais",B397)),ISNUMBER(SEARCH("britannique",B397)),ISNUMBER(SEARCH("écossais",B397)),ISNUMBER(SEARCH("irlandais",B397)),ISNUMBER(SEARCH("russe",B397)),ISNUMBER(SEARCH("portugais",B397)),ISNUMBER(SEARCH("danois",B397)),ISNUMBER(SEARCH("norvégien",B397)),ISNUMBER(SEARCH("suédois",B397)),ISNUMBER(SEARCH("finlandais",B397)),ISNUMBER(SEARCH("polonais",B397)),ISNUMBER(SEARCH("tchèque",B397)),ISNUMBER(SEARCH("hongrois",B397)),ISNUMBER(SEARCH("grec",B397)),ISNUMBER(SEARCH("byzantin",B397)),ISNUMBER(SEARCH("croate",B397)),ISNUMBER(SEARCH("ukrainien",B397)),ISNUMBER(SEARCH("bulgare",B397)),ISNUMBER(SEARCH("biélorusse",B397)),ISNUMBER(SEARCH("maltais",B397))),"Autres pays d'Europe",IF(OR(ISNUMBER(SEARCH("américain",B397)),ISNUMBER(SEARCH("mexicain",B397)),ISNUMBER(SEARCH("canadien",B397)),ISNUMBER(SEARCH("brésilien",B397)),ISNUMBER(SEARCH("argentin",B397))),"Amérique",IF(OR(ISNUMBER(SEARCH("chinois",B397)),ISNUMBER(SEARCH("japonais",B397)),ISNUMBER(SEARCH("coréen",B397)),ISNUMBER(SEARCH("indien",B397)),ISNUMBER(SEARCH("persan",B397)),ISNUMBER(SEARCH("iranien",B397))),"Asie","(non classée)"))))</f>
        <v/>
      </c>
    </row>
    <row r="398">
      <c r="A398" s="2" t="inlineStr">
        <is>
          <t>JEAN CLOUET</t>
        </is>
      </c>
      <c r="B398" s="2" t="inlineStr">
        <is>
          <t>française</t>
        </is>
      </c>
      <c r="C398" s="2" t="inlineStr">
        <is>
          <t>peinture</t>
        </is>
      </c>
      <c r="D398" s="2" t="inlineStr">
        <is>
          <t>16e</t>
        </is>
      </c>
      <c r="U398">
        <f>IF(ISNUMBER(SEARCH("fran",B398)),"France",IF(OR(ISNUMBER(SEARCH("italien",B398)),ISNUMBER(SEARCH("espagn",B398)),ISNUMBER(SEARCH("catalan",B398)),ISNUMBER(SEARCH("flamand",B398)),ISNUMBER(SEARCH("belge",B398)),ISNUMBER(SEARCH("hollandais",B398)),ISNUMBER(SEARCH("néerlandais",B398)),ISNUMBER(SEARCH("allemand",B398)),ISNUMBER(SEARCH("autrichien",B398)),ISNUMBER(SEARCH("suisse",B398)),ISNUMBER(SEARCH("anglais",B398)),ISNUMBER(SEARCH("britannique",B398)),ISNUMBER(SEARCH("écossais",B398)),ISNUMBER(SEARCH("irlandais",B398)),ISNUMBER(SEARCH("russe",B398)),ISNUMBER(SEARCH("portugais",B398)),ISNUMBER(SEARCH("danois",B398)),ISNUMBER(SEARCH("norvégien",B398)),ISNUMBER(SEARCH("suédois",B398)),ISNUMBER(SEARCH("finlandais",B398)),ISNUMBER(SEARCH("polonais",B398)),ISNUMBER(SEARCH("tchèque",B398)),ISNUMBER(SEARCH("hongrois",B398)),ISNUMBER(SEARCH("grec",B398)),ISNUMBER(SEARCH("byzantin",B398)),ISNUMBER(SEARCH("croate",B398)),ISNUMBER(SEARCH("ukrainien",B398)),ISNUMBER(SEARCH("bulgare",B398)),ISNUMBER(SEARCH("biélorusse",B398)),ISNUMBER(SEARCH("maltais",B398))),"Autres pays d'Europe",IF(OR(ISNUMBER(SEARCH("américain",B398)),ISNUMBER(SEARCH("mexicain",B398)),ISNUMBER(SEARCH("canadien",B398)),ISNUMBER(SEARCH("brésilien",B398)),ISNUMBER(SEARCH("argentin",B398))),"Amérique",IF(OR(ISNUMBER(SEARCH("chinois",B398)),ISNUMBER(SEARCH("japonais",B398)),ISNUMBER(SEARCH("coréen",B398)),ISNUMBER(SEARCH("indien",B398)),ISNUMBER(SEARCH("persan",B398)),ISNUMBER(SEARCH("iranien",B398))),"Asie","(non classée)"))))</f>
        <v/>
      </c>
    </row>
    <row r="399">
      <c r="A399" s="2" t="inlineStr">
        <is>
          <t>JEAN FOUQUET</t>
        </is>
      </c>
      <c r="B399" s="2" t="inlineStr">
        <is>
          <t>française</t>
        </is>
      </c>
      <c r="C399" s="2" t="inlineStr">
        <is>
          <t>peinture</t>
        </is>
      </c>
      <c r="D399" s="2" t="inlineStr">
        <is>
          <t>15e</t>
        </is>
      </c>
      <c r="U399">
        <f>IF(ISNUMBER(SEARCH("fran",B399)),"France",IF(OR(ISNUMBER(SEARCH("italien",B399)),ISNUMBER(SEARCH("espagn",B399)),ISNUMBER(SEARCH("catalan",B399)),ISNUMBER(SEARCH("flamand",B399)),ISNUMBER(SEARCH("belge",B399)),ISNUMBER(SEARCH("hollandais",B399)),ISNUMBER(SEARCH("néerlandais",B399)),ISNUMBER(SEARCH("allemand",B399)),ISNUMBER(SEARCH("autrichien",B399)),ISNUMBER(SEARCH("suisse",B399)),ISNUMBER(SEARCH("anglais",B399)),ISNUMBER(SEARCH("britannique",B399)),ISNUMBER(SEARCH("écossais",B399)),ISNUMBER(SEARCH("irlandais",B399)),ISNUMBER(SEARCH("russe",B399)),ISNUMBER(SEARCH("portugais",B399)),ISNUMBER(SEARCH("danois",B399)),ISNUMBER(SEARCH("norvégien",B399)),ISNUMBER(SEARCH("suédois",B399)),ISNUMBER(SEARCH("finlandais",B399)),ISNUMBER(SEARCH("polonais",B399)),ISNUMBER(SEARCH("tchèque",B399)),ISNUMBER(SEARCH("hongrois",B399)),ISNUMBER(SEARCH("grec",B399)),ISNUMBER(SEARCH("byzantin",B399)),ISNUMBER(SEARCH("croate",B399)),ISNUMBER(SEARCH("ukrainien",B399)),ISNUMBER(SEARCH("bulgare",B399)),ISNUMBER(SEARCH("biélorusse",B399)),ISNUMBER(SEARCH("maltais",B399))),"Autres pays d'Europe",IF(OR(ISNUMBER(SEARCH("américain",B399)),ISNUMBER(SEARCH("mexicain",B399)),ISNUMBER(SEARCH("canadien",B399)),ISNUMBER(SEARCH("brésilien",B399)),ISNUMBER(SEARCH("argentin",B399))),"Amérique",IF(OR(ISNUMBER(SEARCH("chinois",B399)),ISNUMBER(SEARCH("japonais",B399)),ISNUMBER(SEARCH("coréen",B399)),ISNUMBER(SEARCH("indien",B399)),ISNUMBER(SEARCH("persan",B399)),ISNUMBER(SEARCH("iranien",B399))),"Asie","(non classée)"))))</f>
        <v/>
      </c>
    </row>
    <row r="400">
      <c r="A400" s="2" t="inlineStr">
        <is>
          <t>JEAN GOUJON</t>
        </is>
      </c>
      <c r="B400" s="2" t="inlineStr">
        <is>
          <t>française</t>
        </is>
      </c>
      <c r="C400" s="2" t="inlineStr">
        <is>
          <t>sculpture</t>
        </is>
      </c>
      <c r="D400" s="2" t="inlineStr">
        <is>
          <t>16e</t>
        </is>
      </c>
      <c r="U400">
        <f>IF(ISNUMBER(SEARCH("fran",B400)),"France",IF(OR(ISNUMBER(SEARCH("italien",B400)),ISNUMBER(SEARCH("espagn",B400)),ISNUMBER(SEARCH("catalan",B400)),ISNUMBER(SEARCH("flamand",B400)),ISNUMBER(SEARCH("belge",B400)),ISNUMBER(SEARCH("hollandais",B400)),ISNUMBER(SEARCH("néerlandais",B400)),ISNUMBER(SEARCH("allemand",B400)),ISNUMBER(SEARCH("autrichien",B400)),ISNUMBER(SEARCH("suisse",B400)),ISNUMBER(SEARCH("anglais",B400)),ISNUMBER(SEARCH("britannique",B400)),ISNUMBER(SEARCH("écossais",B400)),ISNUMBER(SEARCH("irlandais",B400)),ISNUMBER(SEARCH("russe",B400)),ISNUMBER(SEARCH("portugais",B400)),ISNUMBER(SEARCH("danois",B400)),ISNUMBER(SEARCH("norvégien",B400)),ISNUMBER(SEARCH("suédois",B400)),ISNUMBER(SEARCH("finlandais",B400)),ISNUMBER(SEARCH("polonais",B400)),ISNUMBER(SEARCH("tchèque",B400)),ISNUMBER(SEARCH("hongrois",B400)),ISNUMBER(SEARCH("grec",B400)),ISNUMBER(SEARCH("byzantin",B400)),ISNUMBER(SEARCH("croate",B400)),ISNUMBER(SEARCH("ukrainien",B400)),ISNUMBER(SEARCH("bulgare",B400)),ISNUMBER(SEARCH("biélorusse",B400)),ISNUMBER(SEARCH("maltais",B400))),"Autres pays d'Europe",IF(OR(ISNUMBER(SEARCH("américain",B400)),ISNUMBER(SEARCH("mexicain",B400)),ISNUMBER(SEARCH("canadien",B400)),ISNUMBER(SEARCH("brésilien",B400)),ISNUMBER(SEARCH("argentin",B400))),"Amérique",IF(OR(ISNUMBER(SEARCH("chinois",B400)),ISNUMBER(SEARCH("japonais",B400)),ISNUMBER(SEARCH("coréen",B400)),ISNUMBER(SEARCH("indien",B400)),ISNUMBER(SEARCH("persan",B400)),ISNUMBER(SEARCH("iranien",B400))),"Asie","(non classée)"))))</f>
        <v/>
      </c>
    </row>
    <row r="401">
      <c r="A401" s="2" t="inlineStr">
        <is>
          <t>JEAN MONE</t>
        </is>
      </c>
      <c r="B401" s="2" t="inlineStr">
        <is>
          <t>flamande (Belgique)</t>
        </is>
      </c>
      <c r="C401" s="2" t="inlineStr">
        <is>
          <t>sculpture</t>
        </is>
      </c>
      <c r="D401" s="2" t="inlineStr">
        <is>
          <t>16e</t>
        </is>
      </c>
      <c r="U401">
        <f>IF(ISNUMBER(SEARCH("fran",B401)),"France",IF(OR(ISNUMBER(SEARCH("italien",B401)),ISNUMBER(SEARCH("espagn",B401)),ISNUMBER(SEARCH("catalan",B401)),ISNUMBER(SEARCH("flamand",B401)),ISNUMBER(SEARCH("belge",B401)),ISNUMBER(SEARCH("hollandais",B401)),ISNUMBER(SEARCH("néerlandais",B401)),ISNUMBER(SEARCH("allemand",B401)),ISNUMBER(SEARCH("autrichien",B401)),ISNUMBER(SEARCH("suisse",B401)),ISNUMBER(SEARCH("anglais",B401)),ISNUMBER(SEARCH("britannique",B401)),ISNUMBER(SEARCH("écossais",B401)),ISNUMBER(SEARCH("irlandais",B401)),ISNUMBER(SEARCH("russe",B401)),ISNUMBER(SEARCH("portugais",B401)),ISNUMBER(SEARCH("danois",B401)),ISNUMBER(SEARCH("norvégien",B401)),ISNUMBER(SEARCH("suédois",B401)),ISNUMBER(SEARCH("finlandais",B401)),ISNUMBER(SEARCH("polonais",B401)),ISNUMBER(SEARCH("tchèque",B401)),ISNUMBER(SEARCH("hongrois",B401)),ISNUMBER(SEARCH("grec",B401)),ISNUMBER(SEARCH("byzantin",B401)),ISNUMBER(SEARCH("croate",B401)),ISNUMBER(SEARCH("ukrainien",B401)),ISNUMBER(SEARCH("bulgare",B401)),ISNUMBER(SEARCH("biélorusse",B401)),ISNUMBER(SEARCH("maltais",B401))),"Autres pays d'Europe",IF(OR(ISNUMBER(SEARCH("américain",B401)),ISNUMBER(SEARCH("mexicain",B401)),ISNUMBER(SEARCH("canadien",B401)),ISNUMBER(SEARCH("brésilien",B401)),ISNUMBER(SEARCH("argentin",B401))),"Amérique",IF(OR(ISNUMBER(SEARCH("chinois",B401)),ISNUMBER(SEARCH("japonais",B401)),ISNUMBER(SEARCH("coréen",B401)),ISNUMBER(SEARCH("indien",B401)),ISNUMBER(SEARCH("persan",B401)),ISNUMBER(SEARCH("iranien",B401))),"Asie","(non classée)"))))</f>
        <v/>
      </c>
    </row>
    <row r="402">
      <c r="A402" s="2" t="inlineStr">
        <is>
          <t>JEAN POYER</t>
        </is>
      </c>
      <c r="B402" s="2" t="inlineStr">
        <is>
          <t>française</t>
        </is>
      </c>
      <c r="C402" s="2" t="inlineStr">
        <is>
          <t>peinture</t>
        </is>
      </c>
      <c r="D402" s="2" t="inlineStr">
        <is>
          <t>15e</t>
        </is>
      </c>
      <c r="U402">
        <f>IF(ISNUMBER(SEARCH("fran",B402)),"France",IF(OR(ISNUMBER(SEARCH("italien",B402)),ISNUMBER(SEARCH("espagn",B402)),ISNUMBER(SEARCH("catalan",B402)),ISNUMBER(SEARCH("flamand",B402)),ISNUMBER(SEARCH("belge",B402)),ISNUMBER(SEARCH("hollandais",B402)),ISNUMBER(SEARCH("néerlandais",B402)),ISNUMBER(SEARCH("allemand",B402)),ISNUMBER(SEARCH("autrichien",B402)),ISNUMBER(SEARCH("suisse",B402)),ISNUMBER(SEARCH("anglais",B402)),ISNUMBER(SEARCH("britannique",B402)),ISNUMBER(SEARCH("écossais",B402)),ISNUMBER(SEARCH("irlandais",B402)),ISNUMBER(SEARCH("russe",B402)),ISNUMBER(SEARCH("portugais",B402)),ISNUMBER(SEARCH("danois",B402)),ISNUMBER(SEARCH("norvégien",B402)),ISNUMBER(SEARCH("suédois",B402)),ISNUMBER(SEARCH("finlandais",B402)),ISNUMBER(SEARCH("polonais",B402)),ISNUMBER(SEARCH("tchèque",B402)),ISNUMBER(SEARCH("hongrois",B402)),ISNUMBER(SEARCH("grec",B402)),ISNUMBER(SEARCH("byzantin",B402)),ISNUMBER(SEARCH("croate",B402)),ISNUMBER(SEARCH("ukrainien",B402)),ISNUMBER(SEARCH("bulgare",B402)),ISNUMBER(SEARCH("biélorusse",B402)),ISNUMBER(SEARCH("maltais",B402))),"Autres pays d'Europe",IF(OR(ISNUMBER(SEARCH("américain",B402)),ISNUMBER(SEARCH("mexicain",B402)),ISNUMBER(SEARCH("canadien",B402)),ISNUMBER(SEARCH("brésilien",B402)),ISNUMBER(SEARCH("argentin",B402))),"Amérique",IF(OR(ISNUMBER(SEARCH("chinois",B402)),ISNUMBER(SEARCH("japonais",B402)),ISNUMBER(SEARCH("coréen",B402)),ISNUMBER(SEARCH("indien",B402)),ISNUMBER(SEARCH("persan",B402)),ISNUMBER(SEARCH("iranien",B402))),"Asie","(non classée)"))))</f>
        <v/>
      </c>
    </row>
    <row r="403">
      <c r="A403" s="2" t="inlineStr">
        <is>
          <t>JEAN PUCELLE</t>
        </is>
      </c>
      <c r="B403" s="2" t="inlineStr">
        <is>
          <t>française</t>
        </is>
      </c>
      <c r="C403" s="2" t="inlineStr">
        <is>
          <t>peinture</t>
        </is>
      </c>
      <c r="D403" s="2" t="inlineStr">
        <is>
          <t>14e</t>
        </is>
      </c>
      <c r="U403">
        <f>IF(ISNUMBER(SEARCH("fran",B403)),"France",IF(OR(ISNUMBER(SEARCH("italien",B403)),ISNUMBER(SEARCH("espagn",B403)),ISNUMBER(SEARCH("catalan",B403)),ISNUMBER(SEARCH("flamand",B403)),ISNUMBER(SEARCH("belge",B403)),ISNUMBER(SEARCH("hollandais",B403)),ISNUMBER(SEARCH("néerlandais",B403)),ISNUMBER(SEARCH("allemand",B403)),ISNUMBER(SEARCH("autrichien",B403)),ISNUMBER(SEARCH("suisse",B403)),ISNUMBER(SEARCH("anglais",B403)),ISNUMBER(SEARCH("britannique",B403)),ISNUMBER(SEARCH("écossais",B403)),ISNUMBER(SEARCH("irlandais",B403)),ISNUMBER(SEARCH("russe",B403)),ISNUMBER(SEARCH("portugais",B403)),ISNUMBER(SEARCH("danois",B403)),ISNUMBER(SEARCH("norvégien",B403)),ISNUMBER(SEARCH("suédois",B403)),ISNUMBER(SEARCH("finlandais",B403)),ISNUMBER(SEARCH("polonais",B403)),ISNUMBER(SEARCH("tchèque",B403)),ISNUMBER(SEARCH("hongrois",B403)),ISNUMBER(SEARCH("grec",B403)),ISNUMBER(SEARCH("byzantin",B403)),ISNUMBER(SEARCH("croate",B403)),ISNUMBER(SEARCH("ukrainien",B403)),ISNUMBER(SEARCH("bulgare",B403)),ISNUMBER(SEARCH("biélorusse",B403)),ISNUMBER(SEARCH("maltais",B403))),"Autres pays d'Europe",IF(OR(ISNUMBER(SEARCH("américain",B403)),ISNUMBER(SEARCH("mexicain",B403)),ISNUMBER(SEARCH("canadien",B403)),ISNUMBER(SEARCH("brésilien",B403)),ISNUMBER(SEARCH("argentin",B403))),"Amérique",IF(OR(ISNUMBER(SEARCH("chinois",B403)),ISNUMBER(SEARCH("japonais",B403)),ISNUMBER(SEARCH("coréen",B403)),ISNUMBER(SEARCH("indien",B403)),ISNUMBER(SEARCH("persan",B403)),ISNUMBER(SEARCH("iranien",B403))),"Asie","(non classée)"))))</f>
        <v/>
      </c>
    </row>
    <row r="404">
      <c r="A404" s="2" t="inlineStr">
        <is>
          <t>JEAN PÉPIN DE HUY</t>
        </is>
      </c>
      <c r="B404" s="2" t="inlineStr">
        <is>
          <t>française</t>
        </is>
      </c>
      <c r="C404" s="2" t="inlineStr">
        <is>
          <t>sculpture</t>
        </is>
      </c>
      <c r="D404" s="2" t="inlineStr">
        <is>
          <t>14e</t>
        </is>
      </c>
      <c r="U404">
        <f>IF(ISNUMBER(SEARCH("fran",B404)),"France",IF(OR(ISNUMBER(SEARCH("italien",B404)),ISNUMBER(SEARCH("espagn",B404)),ISNUMBER(SEARCH("catalan",B404)),ISNUMBER(SEARCH("flamand",B404)),ISNUMBER(SEARCH("belge",B404)),ISNUMBER(SEARCH("hollandais",B404)),ISNUMBER(SEARCH("néerlandais",B404)),ISNUMBER(SEARCH("allemand",B404)),ISNUMBER(SEARCH("autrichien",B404)),ISNUMBER(SEARCH("suisse",B404)),ISNUMBER(SEARCH("anglais",B404)),ISNUMBER(SEARCH("britannique",B404)),ISNUMBER(SEARCH("écossais",B404)),ISNUMBER(SEARCH("irlandais",B404)),ISNUMBER(SEARCH("russe",B404)),ISNUMBER(SEARCH("portugais",B404)),ISNUMBER(SEARCH("danois",B404)),ISNUMBER(SEARCH("norvégien",B404)),ISNUMBER(SEARCH("suédois",B404)),ISNUMBER(SEARCH("finlandais",B404)),ISNUMBER(SEARCH("polonais",B404)),ISNUMBER(SEARCH("tchèque",B404)),ISNUMBER(SEARCH("hongrois",B404)),ISNUMBER(SEARCH("grec",B404)),ISNUMBER(SEARCH("byzantin",B404)),ISNUMBER(SEARCH("croate",B404)),ISNUMBER(SEARCH("ukrainien",B404)),ISNUMBER(SEARCH("bulgare",B404)),ISNUMBER(SEARCH("biélorusse",B404)),ISNUMBER(SEARCH("maltais",B404))),"Autres pays d'Europe",IF(OR(ISNUMBER(SEARCH("américain",B404)),ISNUMBER(SEARCH("mexicain",B404)),ISNUMBER(SEARCH("canadien",B404)),ISNUMBER(SEARCH("brésilien",B404)),ISNUMBER(SEARCH("argentin",B404))),"Amérique",IF(OR(ISNUMBER(SEARCH("chinois",B404)),ISNUMBER(SEARCH("japonais",B404)),ISNUMBER(SEARCH("coréen",B404)),ISNUMBER(SEARCH("indien",B404)),ISNUMBER(SEARCH("persan",B404)),ISNUMBER(SEARCH("iranien",B404))),"Asie","(non classée)"))))</f>
        <v/>
      </c>
    </row>
    <row r="405">
      <c r="A405" s="2" t="inlineStr">
        <is>
          <t>JEAN WARIN</t>
        </is>
      </c>
      <c r="B405" s="2" t="inlineStr">
        <is>
          <t>française</t>
        </is>
      </c>
      <c r="C405" s="2" t="inlineStr">
        <is>
          <t>sculpture</t>
        </is>
      </c>
      <c r="D405" s="2" t="inlineStr">
        <is>
          <t>17e</t>
        </is>
      </c>
      <c r="U405">
        <f>IF(ISNUMBER(SEARCH("fran",B405)),"France",IF(OR(ISNUMBER(SEARCH("italien",B405)),ISNUMBER(SEARCH("espagn",B405)),ISNUMBER(SEARCH("catalan",B405)),ISNUMBER(SEARCH("flamand",B405)),ISNUMBER(SEARCH("belge",B405)),ISNUMBER(SEARCH("hollandais",B405)),ISNUMBER(SEARCH("néerlandais",B405)),ISNUMBER(SEARCH("allemand",B405)),ISNUMBER(SEARCH("autrichien",B405)),ISNUMBER(SEARCH("suisse",B405)),ISNUMBER(SEARCH("anglais",B405)),ISNUMBER(SEARCH("britannique",B405)),ISNUMBER(SEARCH("écossais",B405)),ISNUMBER(SEARCH("irlandais",B405)),ISNUMBER(SEARCH("russe",B405)),ISNUMBER(SEARCH("portugais",B405)),ISNUMBER(SEARCH("danois",B405)),ISNUMBER(SEARCH("norvégien",B405)),ISNUMBER(SEARCH("suédois",B405)),ISNUMBER(SEARCH("finlandais",B405)),ISNUMBER(SEARCH("polonais",B405)),ISNUMBER(SEARCH("tchèque",B405)),ISNUMBER(SEARCH("hongrois",B405)),ISNUMBER(SEARCH("grec",B405)),ISNUMBER(SEARCH("byzantin",B405)),ISNUMBER(SEARCH("croate",B405)),ISNUMBER(SEARCH("ukrainien",B405)),ISNUMBER(SEARCH("bulgare",B405)),ISNUMBER(SEARCH("biélorusse",B405)),ISNUMBER(SEARCH("maltais",B405))),"Autres pays d'Europe",IF(OR(ISNUMBER(SEARCH("américain",B405)),ISNUMBER(SEARCH("mexicain",B405)),ISNUMBER(SEARCH("canadien",B405)),ISNUMBER(SEARCH("brésilien",B405)),ISNUMBER(SEARCH("argentin",B405))),"Amérique",IF(OR(ISNUMBER(SEARCH("chinois",B405)),ISNUMBER(SEARCH("japonais",B405)),ISNUMBER(SEARCH("coréen",B405)),ISNUMBER(SEARCH("indien",B405)),ISNUMBER(SEARCH("persan",B405)),ISNUMBER(SEARCH("iranien",B405))),"Asie","(non classée)"))))</f>
        <v/>
      </c>
    </row>
    <row r="406">
      <c r="A406" s="2" t="inlineStr">
        <is>
          <t>JEAN DE BEAUMETZ</t>
        </is>
      </c>
      <c r="B406" s="2" t="inlineStr">
        <is>
          <t>française</t>
        </is>
      </c>
      <c r="C406" s="2" t="inlineStr">
        <is>
          <t>peinture</t>
        </is>
      </c>
      <c r="D406" s="2" t="inlineStr">
        <is>
          <t>14e</t>
        </is>
      </c>
      <c r="U406">
        <f>IF(ISNUMBER(SEARCH("fran",B406)),"France",IF(OR(ISNUMBER(SEARCH("italien",B406)),ISNUMBER(SEARCH("espagn",B406)),ISNUMBER(SEARCH("catalan",B406)),ISNUMBER(SEARCH("flamand",B406)),ISNUMBER(SEARCH("belge",B406)),ISNUMBER(SEARCH("hollandais",B406)),ISNUMBER(SEARCH("néerlandais",B406)),ISNUMBER(SEARCH("allemand",B406)),ISNUMBER(SEARCH("autrichien",B406)),ISNUMBER(SEARCH("suisse",B406)),ISNUMBER(SEARCH("anglais",B406)),ISNUMBER(SEARCH("britannique",B406)),ISNUMBER(SEARCH("écossais",B406)),ISNUMBER(SEARCH("irlandais",B406)),ISNUMBER(SEARCH("russe",B406)),ISNUMBER(SEARCH("portugais",B406)),ISNUMBER(SEARCH("danois",B406)),ISNUMBER(SEARCH("norvégien",B406)),ISNUMBER(SEARCH("suédois",B406)),ISNUMBER(SEARCH("finlandais",B406)),ISNUMBER(SEARCH("polonais",B406)),ISNUMBER(SEARCH("tchèque",B406)),ISNUMBER(SEARCH("hongrois",B406)),ISNUMBER(SEARCH("grec",B406)),ISNUMBER(SEARCH("byzantin",B406)),ISNUMBER(SEARCH("croate",B406)),ISNUMBER(SEARCH("ukrainien",B406)),ISNUMBER(SEARCH("bulgare",B406)),ISNUMBER(SEARCH("biélorusse",B406)),ISNUMBER(SEARCH("maltais",B406))),"Autres pays d'Europe",IF(OR(ISNUMBER(SEARCH("américain",B406)),ISNUMBER(SEARCH("mexicain",B406)),ISNUMBER(SEARCH("canadien",B406)),ISNUMBER(SEARCH("brésilien",B406)),ISNUMBER(SEARCH("argentin",B406))),"Amérique",IF(OR(ISNUMBER(SEARCH("chinois",B406)),ISNUMBER(SEARCH("japonais",B406)),ISNUMBER(SEARCH("coréen",B406)),ISNUMBER(SEARCH("indien",B406)),ISNUMBER(SEARCH("persan",B406)),ISNUMBER(SEARCH("iranien",B406))),"Asie","(non classée)"))))</f>
        <v/>
      </c>
    </row>
    <row r="407">
      <c r="A407" s="2" t="inlineStr">
        <is>
          <t>JEAN DE LIÈGE</t>
        </is>
      </c>
      <c r="B407" s="2" t="inlineStr">
        <is>
          <t>française</t>
        </is>
      </c>
      <c r="C407" s="2" t="inlineStr">
        <is>
          <t>sculpture</t>
        </is>
      </c>
      <c r="D407" s="2" t="inlineStr">
        <is>
          <t>14e</t>
        </is>
      </c>
      <c r="U407">
        <f>IF(ISNUMBER(SEARCH("fran",B407)),"France",IF(OR(ISNUMBER(SEARCH("italien",B407)),ISNUMBER(SEARCH("espagn",B407)),ISNUMBER(SEARCH("catalan",B407)),ISNUMBER(SEARCH("flamand",B407)),ISNUMBER(SEARCH("belge",B407)),ISNUMBER(SEARCH("hollandais",B407)),ISNUMBER(SEARCH("néerlandais",B407)),ISNUMBER(SEARCH("allemand",B407)),ISNUMBER(SEARCH("autrichien",B407)),ISNUMBER(SEARCH("suisse",B407)),ISNUMBER(SEARCH("anglais",B407)),ISNUMBER(SEARCH("britannique",B407)),ISNUMBER(SEARCH("écossais",B407)),ISNUMBER(SEARCH("irlandais",B407)),ISNUMBER(SEARCH("russe",B407)),ISNUMBER(SEARCH("portugais",B407)),ISNUMBER(SEARCH("danois",B407)),ISNUMBER(SEARCH("norvégien",B407)),ISNUMBER(SEARCH("suédois",B407)),ISNUMBER(SEARCH("finlandais",B407)),ISNUMBER(SEARCH("polonais",B407)),ISNUMBER(SEARCH("tchèque",B407)),ISNUMBER(SEARCH("hongrois",B407)),ISNUMBER(SEARCH("grec",B407)),ISNUMBER(SEARCH("byzantin",B407)),ISNUMBER(SEARCH("croate",B407)),ISNUMBER(SEARCH("ukrainien",B407)),ISNUMBER(SEARCH("bulgare",B407)),ISNUMBER(SEARCH("biélorusse",B407)),ISNUMBER(SEARCH("maltais",B407))),"Autres pays d'Europe",IF(OR(ISNUMBER(SEARCH("américain",B407)),ISNUMBER(SEARCH("mexicain",B407)),ISNUMBER(SEARCH("canadien",B407)),ISNUMBER(SEARCH("brésilien",B407)),ISNUMBER(SEARCH("argentin",B407))),"Amérique",IF(OR(ISNUMBER(SEARCH("chinois",B407)),ISNUMBER(SEARCH("japonais",B407)),ISNUMBER(SEARCH("coréen",B407)),ISNUMBER(SEARCH("indien",B407)),ISNUMBER(SEARCH("persan",B407)),ISNUMBER(SEARCH("iranien",B407))),"Asie","(non classée)"))))</f>
        <v/>
      </c>
    </row>
    <row r="408">
      <c r="A408" s="2" t="inlineStr">
        <is>
          <t>JEAN ET ANTOINE JUSTE</t>
        </is>
      </c>
      <c r="B408" s="2" t="inlineStr">
        <is>
          <t>française</t>
        </is>
      </c>
      <c r="C408" s="2" t="inlineStr">
        <is>
          <t>sculpture</t>
        </is>
      </c>
      <c r="D408" s="2" t="inlineStr">
        <is>
          <t>16e</t>
        </is>
      </c>
      <c r="U408">
        <f>IF(ISNUMBER(SEARCH("fran",B408)),"France",IF(OR(ISNUMBER(SEARCH("italien",B408)),ISNUMBER(SEARCH("espagn",B408)),ISNUMBER(SEARCH("catalan",B408)),ISNUMBER(SEARCH("flamand",B408)),ISNUMBER(SEARCH("belge",B408)),ISNUMBER(SEARCH("hollandais",B408)),ISNUMBER(SEARCH("néerlandais",B408)),ISNUMBER(SEARCH("allemand",B408)),ISNUMBER(SEARCH("autrichien",B408)),ISNUMBER(SEARCH("suisse",B408)),ISNUMBER(SEARCH("anglais",B408)),ISNUMBER(SEARCH("britannique",B408)),ISNUMBER(SEARCH("écossais",B408)),ISNUMBER(SEARCH("irlandais",B408)),ISNUMBER(SEARCH("russe",B408)),ISNUMBER(SEARCH("portugais",B408)),ISNUMBER(SEARCH("danois",B408)),ISNUMBER(SEARCH("norvégien",B408)),ISNUMBER(SEARCH("suédois",B408)),ISNUMBER(SEARCH("finlandais",B408)),ISNUMBER(SEARCH("polonais",B408)),ISNUMBER(SEARCH("tchèque",B408)),ISNUMBER(SEARCH("hongrois",B408)),ISNUMBER(SEARCH("grec",B408)),ISNUMBER(SEARCH("byzantin",B408)),ISNUMBER(SEARCH("croate",B408)),ISNUMBER(SEARCH("ukrainien",B408)),ISNUMBER(SEARCH("bulgare",B408)),ISNUMBER(SEARCH("biélorusse",B408)),ISNUMBER(SEARCH("maltais",B408))),"Autres pays d'Europe",IF(OR(ISNUMBER(SEARCH("américain",B408)),ISNUMBER(SEARCH("mexicain",B408)),ISNUMBER(SEARCH("canadien",B408)),ISNUMBER(SEARCH("brésilien",B408)),ISNUMBER(SEARCH("argentin",B408))),"Amérique",IF(OR(ISNUMBER(SEARCH("chinois",B408)),ISNUMBER(SEARCH("japonais",B408)),ISNUMBER(SEARCH("coréen",B408)),ISNUMBER(SEARCH("indien",B408)),ISNUMBER(SEARCH("persan",B408)),ISNUMBER(SEARCH("iranien",B408))),"Asie","(non classée)"))))</f>
        <v/>
      </c>
    </row>
    <row r="409">
      <c r="A409" s="2" t="inlineStr">
        <is>
          <t>JEAN-ANTOINE HOUDON</t>
        </is>
      </c>
      <c r="B409" s="2" t="inlineStr">
        <is>
          <t>française</t>
        </is>
      </c>
      <c r="C409" s="2" t="inlineStr">
        <is>
          <t>sculpture</t>
        </is>
      </c>
      <c r="D409" s="2" t="inlineStr">
        <is>
          <t>18e</t>
        </is>
      </c>
      <c r="U409">
        <f>IF(ISNUMBER(SEARCH("fran",B409)),"France",IF(OR(ISNUMBER(SEARCH("italien",B409)),ISNUMBER(SEARCH("espagn",B409)),ISNUMBER(SEARCH("catalan",B409)),ISNUMBER(SEARCH("flamand",B409)),ISNUMBER(SEARCH("belge",B409)),ISNUMBER(SEARCH("hollandais",B409)),ISNUMBER(SEARCH("néerlandais",B409)),ISNUMBER(SEARCH("allemand",B409)),ISNUMBER(SEARCH("autrichien",B409)),ISNUMBER(SEARCH("suisse",B409)),ISNUMBER(SEARCH("anglais",B409)),ISNUMBER(SEARCH("britannique",B409)),ISNUMBER(SEARCH("écossais",B409)),ISNUMBER(SEARCH("irlandais",B409)),ISNUMBER(SEARCH("russe",B409)),ISNUMBER(SEARCH("portugais",B409)),ISNUMBER(SEARCH("danois",B409)),ISNUMBER(SEARCH("norvégien",B409)),ISNUMBER(SEARCH("suédois",B409)),ISNUMBER(SEARCH("finlandais",B409)),ISNUMBER(SEARCH("polonais",B409)),ISNUMBER(SEARCH("tchèque",B409)),ISNUMBER(SEARCH("hongrois",B409)),ISNUMBER(SEARCH("grec",B409)),ISNUMBER(SEARCH("byzantin",B409)),ISNUMBER(SEARCH("croate",B409)),ISNUMBER(SEARCH("ukrainien",B409)),ISNUMBER(SEARCH("bulgare",B409)),ISNUMBER(SEARCH("biélorusse",B409)),ISNUMBER(SEARCH("maltais",B409))),"Autres pays d'Europe",IF(OR(ISNUMBER(SEARCH("américain",B409)),ISNUMBER(SEARCH("mexicain",B409)),ISNUMBER(SEARCH("canadien",B409)),ISNUMBER(SEARCH("brésilien",B409)),ISNUMBER(SEARCH("argentin",B409))),"Amérique",IF(OR(ISNUMBER(SEARCH("chinois",B409)),ISNUMBER(SEARCH("japonais",B409)),ISNUMBER(SEARCH("coréen",B409)),ISNUMBER(SEARCH("indien",B409)),ISNUMBER(SEARCH("persan",B409)),ISNUMBER(SEARCH("iranien",B409))),"Asie","(non classée)"))))</f>
        <v/>
      </c>
    </row>
    <row r="410">
      <c r="A410" s="2" t="inlineStr">
        <is>
          <t>JEAN-ANTOINE INJALBERT</t>
        </is>
      </c>
      <c r="B410" s="2" t="inlineStr">
        <is>
          <t>française</t>
        </is>
      </c>
      <c r="C410" s="2" t="inlineStr">
        <is>
          <t>sculpture</t>
        </is>
      </c>
      <c r="D410" s="2" t="inlineStr">
        <is>
          <t>20e</t>
        </is>
      </c>
      <c r="U410">
        <f>IF(ISNUMBER(SEARCH("fran",B410)),"France",IF(OR(ISNUMBER(SEARCH("italien",B410)),ISNUMBER(SEARCH("espagn",B410)),ISNUMBER(SEARCH("catalan",B410)),ISNUMBER(SEARCH("flamand",B410)),ISNUMBER(SEARCH("belge",B410)),ISNUMBER(SEARCH("hollandais",B410)),ISNUMBER(SEARCH("néerlandais",B410)),ISNUMBER(SEARCH("allemand",B410)),ISNUMBER(SEARCH("autrichien",B410)),ISNUMBER(SEARCH("suisse",B410)),ISNUMBER(SEARCH("anglais",B410)),ISNUMBER(SEARCH("britannique",B410)),ISNUMBER(SEARCH("écossais",B410)),ISNUMBER(SEARCH("irlandais",B410)),ISNUMBER(SEARCH("russe",B410)),ISNUMBER(SEARCH("portugais",B410)),ISNUMBER(SEARCH("danois",B410)),ISNUMBER(SEARCH("norvégien",B410)),ISNUMBER(SEARCH("suédois",B410)),ISNUMBER(SEARCH("finlandais",B410)),ISNUMBER(SEARCH("polonais",B410)),ISNUMBER(SEARCH("tchèque",B410)),ISNUMBER(SEARCH("hongrois",B410)),ISNUMBER(SEARCH("grec",B410)),ISNUMBER(SEARCH("byzantin",B410)),ISNUMBER(SEARCH("croate",B410)),ISNUMBER(SEARCH("ukrainien",B410)),ISNUMBER(SEARCH("bulgare",B410)),ISNUMBER(SEARCH("biélorusse",B410)),ISNUMBER(SEARCH("maltais",B410))),"Autres pays d'Europe",IF(OR(ISNUMBER(SEARCH("américain",B410)),ISNUMBER(SEARCH("mexicain",B410)),ISNUMBER(SEARCH("canadien",B410)),ISNUMBER(SEARCH("brésilien",B410)),ISNUMBER(SEARCH("argentin",B410))),"Amérique",IF(OR(ISNUMBER(SEARCH("chinois",B410)),ISNUMBER(SEARCH("japonais",B410)),ISNUMBER(SEARCH("coréen",B410)),ISNUMBER(SEARCH("indien",B410)),ISNUMBER(SEARCH("persan",B410)),ISNUMBER(SEARCH("iranien",B410))),"Asie","(non classée)"))))</f>
        <v/>
      </c>
    </row>
    <row r="411">
      <c r="A411" s="2" t="inlineStr">
        <is>
          <t>JEAN-ANTOINE WATTEAU</t>
        </is>
      </c>
      <c r="B411" s="2" t="inlineStr">
        <is>
          <t>française</t>
        </is>
      </c>
      <c r="C411" s="2" t="inlineStr">
        <is>
          <t>peinture</t>
        </is>
      </c>
      <c r="D411" s="2" t="inlineStr">
        <is>
          <t>18e</t>
        </is>
      </c>
      <c r="U411">
        <f>IF(ISNUMBER(SEARCH("fran",B411)),"France",IF(OR(ISNUMBER(SEARCH("italien",B411)),ISNUMBER(SEARCH("espagn",B411)),ISNUMBER(SEARCH("catalan",B411)),ISNUMBER(SEARCH("flamand",B411)),ISNUMBER(SEARCH("belge",B411)),ISNUMBER(SEARCH("hollandais",B411)),ISNUMBER(SEARCH("néerlandais",B411)),ISNUMBER(SEARCH("allemand",B411)),ISNUMBER(SEARCH("autrichien",B411)),ISNUMBER(SEARCH("suisse",B411)),ISNUMBER(SEARCH("anglais",B411)),ISNUMBER(SEARCH("britannique",B411)),ISNUMBER(SEARCH("écossais",B411)),ISNUMBER(SEARCH("irlandais",B411)),ISNUMBER(SEARCH("russe",B411)),ISNUMBER(SEARCH("portugais",B411)),ISNUMBER(SEARCH("danois",B411)),ISNUMBER(SEARCH("norvégien",B411)),ISNUMBER(SEARCH("suédois",B411)),ISNUMBER(SEARCH("finlandais",B411)),ISNUMBER(SEARCH("polonais",B411)),ISNUMBER(SEARCH("tchèque",B411)),ISNUMBER(SEARCH("hongrois",B411)),ISNUMBER(SEARCH("grec",B411)),ISNUMBER(SEARCH("byzantin",B411)),ISNUMBER(SEARCH("croate",B411)),ISNUMBER(SEARCH("ukrainien",B411)),ISNUMBER(SEARCH("bulgare",B411)),ISNUMBER(SEARCH("biélorusse",B411)),ISNUMBER(SEARCH("maltais",B411))),"Autres pays d'Europe",IF(OR(ISNUMBER(SEARCH("américain",B411)),ISNUMBER(SEARCH("mexicain",B411)),ISNUMBER(SEARCH("canadien",B411)),ISNUMBER(SEARCH("brésilien",B411)),ISNUMBER(SEARCH("argentin",B411))),"Amérique",IF(OR(ISNUMBER(SEARCH("chinois",B411)),ISNUMBER(SEARCH("japonais",B411)),ISNUMBER(SEARCH("coréen",B411)),ISNUMBER(SEARCH("indien",B411)),ISNUMBER(SEARCH("persan",B411)),ISNUMBER(SEARCH("iranien",B411))),"Asie","(non classée)"))))</f>
        <v/>
      </c>
    </row>
    <row r="412">
      <c r="A412" s="2" t="inlineStr">
        <is>
          <t>JEAN-AUGUSTE-DOMINIQUE INGRES</t>
        </is>
      </c>
      <c r="B412" s="2" t="inlineStr">
        <is>
          <t>française</t>
        </is>
      </c>
      <c r="C412" s="2" t="inlineStr">
        <is>
          <t>peinture</t>
        </is>
      </c>
      <c r="D412" s="2" t="inlineStr">
        <is>
          <t>19e</t>
        </is>
      </c>
      <c r="U412">
        <f>IF(ISNUMBER(SEARCH("fran",B412)),"France",IF(OR(ISNUMBER(SEARCH("italien",B412)),ISNUMBER(SEARCH("espagn",B412)),ISNUMBER(SEARCH("catalan",B412)),ISNUMBER(SEARCH("flamand",B412)),ISNUMBER(SEARCH("belge",B412)),ISNUMBER(SEARCH("hollandais",B412)),ISNUMBER(SEARCH("néerlandais",B412)),ISNUMBER(SEARCH("allemand",B412)),ISNUMBER(SEARCH("autrichien",B412)),ISNUMBER(SEARCH("suisse",B412)),ISNUMBER(SEARCH("anglais",B412)),ISNUMBER(SEARCH("britannique",B412)),ISNUMBER(SEARCH("écossais",B412)),ISNUMBER(SEARCH("irlandais",B412)),ISNUMBER(SEARCH("russe",B412)),ISNUMBER(SEARCH("portugais",B412)),ISNUMBER(SEARCH("danois",B412)),ISNUMBER(SEARCH("norvégien",B412)),ISNUMBER(SEARCH("suédois",B412)),ISNUMBER(SEARCH("finlandais",B412)),ISNUMBER(SEARCH("polonais",B412)),ISNUMBER(SEARCH("tchèque",B412)),ISNUMBER(SEARCH("hongrois",B412)),ISNUMBER(SEARCH("grec",B412)),ISNUMBER(SEARCH("byzantin",B412)),ISNUMBER(SEARCH("croate",B412)),ISNUMBER(SEARCH("ukrainien",B412)),ISNUMBER(SEARCH("bulgare",B412)),ISNUMBER(SEARCH("biélorusse",B412)),ISNUMBER(SEARCH("maltais",B412))),"Autres pays d'Europe",IF(OR(ISNUMBER(SEARCH("américain",B412)),ISNUMBER(SEARCH("mexicain",B412)),ISNUMBER(SEARCH("canadien",B412)),ISNUMBER(SEARCH("brésilien",B412)),ISNUMBER(SEARCH("argentin",B412))),"Amérique",IF(OR(ISNUMBER(SEARCH("chinois",B412)),ISNUMBER(SEARCH("japonais",B412)),ISNUMBER(SEARCH("coréen",B412)),ISNUMBER(SEARCH("indien",B412)),ISNUMBER(SEARCH("persan",B412)),ISNUMBER(SEARCH("iranien",B412))),"Asie","(non classée)"))))</f>
        <v/>
      </c>
    </row>
    <row r="413">
      <c r="A413" s="2" t="inlineStr">
        <is>
          <t>JEAN-BAPTISTE CARPEAUX</t>
        </is>
      </c>
      <c r="B413" s="2" t="inlineStr">
        <is>
          <t>française</t>
        </is>
      </c>
      <c r="C413" s="2" t="inlineStr">
        <is>
          <t>sculpture</t>
        </is>
      </c>
      <c r="D413" s="2" t="inlineStr">
        <is>
          <t>19e</t>
        </is>
      </c>
      <c r="U413">
        <f>IF(ISNUMBER(SEARCH("fran",B413)),"France",IF(OR(ISNUMBER(SEARCH("italien",B413)),ISNUMBER(SEARCH("espagn",B413)),ISNUMBER(SEARCH("catalan",B413)),ISNUMBER(SEARCH("flamand",B413)),ISNUMBER(SEARCH("belge",B413)),ISNUMBER(SEARCH("hollandais",B413)),ISNUMBER(SEARCH("néerlandais",B413)),ISNUMBER(SEARCH("allemand",B413)),ISNUMBER(SEARCH("autrichien",B413)),ISNUMBER(SEARCH("suisse",B413)),ISNUMBER(SEARCH("anglais",B413)),ISNUMBER(SEARCH("britannique",B413)),ISNUMBER(SEARCH("écossais",B413)),ISNUMBER(SEARCH("irlandais",B413)),ISNUMBER(SEARCH("russe",B413)),ISNUMBER(SEARCH("portugais",B413)),ISNUMBER(SEARCH("danois",B413)),ISNUMBER(SEARCH("norvégien",B413)),ISNUMBER(SEARCH("suédois",B413)),ISNUMBER(SEARCH("finlandais",B413)),ISNUMBER(SEARCH("polonais",B413)),ISNUMBER(SEARCH("tchèque",B413)),ISNUMBER(SEARCH("hongrois",B413)),ISNUMBER(SEARCH("grec",B413)),ISNUMBER(SEARCH("byzantin",B413)),ISNUMBER(SEARCH("croate",B413)),ISNUMBER(SEARCH("ukrainien",B413)),ISNUMBER(SEARCH("bulgare",B413)),ISNUMBER(SEARCH("biélorusse",B413)),ISNUMBER(SEARCH("maltais",B413))),"Autres pays d'Europe",IF(OR(ISNUMBER(SEARCH("américain",B413)),ISNUMBER(SEARCH("mexicain",B413)),ISNUMBER(SEARCH("canadien",B413)),ISNUMBER(SEARCH("brésilien",B413)),ISNUMBER(SEARCH("argentin",B413))),"Amérique",IF(OR(ISNUMBER(SEARCH("chinois",B413)),ISNUMBER(SEARCH("japonais",B413)),ISNUMBER(SEARCH("coréen",B413)),ISNUMBER(SEARCH("indien",B413)),ISNUMBER(SEARCH("persan",B413)),ISNUMBER(SEARCH("iranien",B413))),"Asie","(non classée)"))))</f>
        <v/>
      </c>
    </row>
    <row r="414">
      <c r="A414" s="2" t="inlineStr">
        <is>
          <t>JEAN-BAPTISTE CLÉSINGER</t>
        </is>
      </c>
      <c r="B414" s="2" t="inlineStr">
        <is>
          <t>française</t>
        </is>
      </c>
      <c r="C414" s="2" t="inlineStr">
        <is>
          <t>sculpture</t>
        </is>
      </c>
      <c r="D414" s="2" t="inlineStr">
        <is>
          <t>19e</t>
        </is>
      </c>
      <c r="U414">
        <f>IF(ISNUMBER(SEARCH("fran",B414)),"France",IF(OR(ISNUMBER(SEARCH("italien",B414)),ISNUMBER(SEARCH("espagn",B414)),ISNUMBER(SEARCH("catalan",B414)),ISNUMBER(SEARCH("flamand",B414)),ISNUMBER(SEARCH("belge",B414)),ISNUMBER(SEARCH("hollandais",B414)),ISNUMBER(SEARCH("néerlandais",B414)),ISNUMBER(SEARCH("allemand",B414)),ISNUMBER(SEARCH("autrichien",B414)),ISNUMBER(SEARCH("suisse",B414)),ISNUMBER(SEARCH("anglais",B414)),ISNUMBER(SEARCH("britannique",B414)),ISNUMBER(SEARCH("écossais",B414)),ISNUMBER(SEARCH("irlandais",B414)),ISNUMBER(SEARCH("russe",B414)),ISNUMBER(SEARCH("portugais",B414)),ISNUMBER(SEARCH("danois",B414)),ISNUMBER(SEARCH("norvégien",B414)),ISNUMBER(SEARCH("suédois",B414)),ISNUMBER(SEARCH("finlandais",B414)),ISNUMBER(SEARCH("polonais",B414)),ISNUMBER(SEARCH("tchèque",B414)),ISNUMBER(SEARCH("hongrois",B414)),ISNUMBER(SEARCH("grec",B414)),ISNUMBER(SEARCH("byzantin",B414)),ISNUMBER(SEARCH("croate",B414)),ISNUMBER(SEARCH("ukrainien",B414)),ISNUMBER(SEARCH("bulgare",B414)),ISNUMBER(SEARCH("biélorusse",B414)),ISNUMBER(SEARCH("maltais",B414))),"Autres pays d'Europe",IF(OR(ISNUMBER(SEARCH("américain",B414)),ISNUMBER(SEARCH("mexicain",B414)),ISNUMBER(SEARCH("canadien",B414)),ISNUMBER(SEARCH("brésilien",B414)),ISNUMBER(SEARCH("argentin",B414))),"Amérique",IF(OR(ISNUMBER(SEARCH("chinois",B414)),ISNUMBER(SEARCH("japonais",B414)),ISNUMBER(SEARCH("coréen",B414)),ISNUMBER(SEARCH("indien",B414)),ISNUMBER(SEARCH("persan",B414)),ISNUMBER(SEARCH("iranien",B414))),"Asie","(non classée)"))))</f>
        <v/>
      </c>
    </row>
    <row r="415">
      <c r="A415" s="2" t="inlineStr">
        <is>
          <t>JEAN-BAPTISTE COROT</t>
        </is>
      </c>
      <c r="B415" s="2" t="inlineStr">
        <is>
          <t>française</t>
        </is>
      </c>
      <c r="C415" s="2" t="inlineStr">
        <is>
          <t>peinture</t>
        </is>
      </c>
      <c r="D415" s="2" t="inlineStr">
        <is>
          <t>19e</t>
        </is>
      </c>
      <c r="U415">
        <f>IF(ISNUMBER(SEARCH("fran",B415)),"France",IF(OR(ISNUMBER(SEARCH("italien",B415)),ISNUMBER(SEARCH("espagn",B415)),ISNUMBER(SEARCH("catalan",B415)),ISNUMBER(SEARCH("flamand",B415)),ISNUMBER(SEARCH("belge",B415)),ISNUMBER(SEARCH("hollandais",B415)),ISNUMBER(SEARCH("néerlandais",B415)),ISNUMBER(SEARCH("allemand",B415)),ISNUMBER(SEARCH("autrichien",B415)),ISNUMBER(SEARCH("suisse",B415)),ISNUMBER(SEARCH("anglais",B415)),ISNUMBER(SEARCH("britannique",B415)),ISNUMBER(SEARCH("écossais",B415)),ISNUMBER(SEARCH("irlandais",B415)),ISNUMBER(SEARCH("russe",B415)),ISNUMBER(SEARCH("portugais",B415)),ISNUMBER(SEARCH("danois",B415)),ISNUMBER(SEARCH("norvégien",B415)),ISNUMBER(SEARCH("suédois",B415)),ISNUMBER(SEARCH("finlandais",B415)),ISNUMBER(SEARCH("polonais",B415)),ISNUMBER(SEARCH("tchèque",B415)),ISNUMBER(SEARCH("hongrois",B415)),ISNUMBER(SEARCH("grec",B415)),ISNUMBER(SEARCH("byzantin",B415)),ISNUMBER(SEARCH("croate",B415)),ISNUMBER(SEARCH("ukrainien",B415)),ISNUMBER(SEARCH("bulgare",B415)),ISNUMBER(SEARCH("biélorusse",B415)),ISNUMBER(SEARCH("maltais",B415))),"Autres pays d'Europe",IF(OR(ISNUMBER(SEARCH("américain",B415)),ISNUMBER(SEARCH("mexicain",B415)),ISNUMBER(SEARCH("canadien",B415)),ISNUMBER(SEARCH("brésilien",B415)),ISNUMBER(SEARCH("argentin",B415))),"Amérique",IF(OR(ISNUMBER(SEARCH("chinois",B415)),ISNUMBER(SEARCH("japonais",B415)),ISNUMBER(SEARCH("coréen",B415)),ISNUMBER(SEARCH("indien",B415)),ISNUMBER(SEARCH("persan",B415)),ISNUMBER(SEARCH("iranien",B415))),"Asie","(non classée)"))))</f>
        <v/>
      </c>
    </row>
    <row r="416">
      <c r="A416" s="2" t="inlineStr">
        <is>
          <t>JEAN-BAPTISTE GREUZE</t>
        </is>
      </c>
      <c r="B416" s="2" t="inlineStr">
        <is>
          <t>française</t>
        </is>
      </c>
      <c r="C416" s="2" t="inlineStr">
        <is>
          <t>peinture</t>
        </is>
      </c>
      <c r="D416" s="2" t="inlineStr">
        <is>
          <t>18e</t>
        </is>
      </c>
      <c r="U416">
        <f>IF(ISNUMBER(SEARCH("fran",B416)),"France",IF(OR(ISNUMBER(SEARCH("italien",B416)),ISNUMBER(SEARCH("espagn",B416)),ISNUMBER(SEARCH("catalan",B416)),ISNUMBER(SEARCH("flamand",B416)),ISNUMBER(SEARCH("belge",B416)),ISNUMBER(SEARCH("hollandais",B416)),ISNUMBER(SEARCH("néerlandais",B416)),ISNUMBER(SEARCH("allemand",B416)),ISNUMBER(SEARCH("autrichien",B416)),ISNUMBER(SEARCH("suisse",B416)),ISNUMBER(SEARCH("anglais",B416)),ISNUMBER(SEARCH("britannique",B416)),ISNUMBER(SEARCH("écossais",B416)),ISNUMBER(SEARCH("irlandais",B416)),ISNUMBER(SEARCH("russe",B416)),ISNUMBER(SEARCH("portugais",B416)),ISNUMBER(SEARCH("danois",B416)),ISNUMBER(SEARCH("norvégien",B416)),ISNUMBER(SEARCH("suédois",B416)),ISNUMBER(SEARCH("finlandais",B416)),ISNUMBER(SEARCH("polonais",B416)),ISNUMBER(SEARCH("tchèque",B416)),ISNUMBER(SEARCH("hongrois",B416)),ISNUMBER(SEARCH("grec",B416)),ISNUMBER(SEARCH("byzantin",B416)),ISNUMBER(SEARCH("croate",B416)),ISNUMBER(SEARCH("ukrainien",B416)),ISNUMBER(SEARCH("bulgare",B416)),ISNUMBER(SEARCH("biélorusse",B416)),ISNUMBER(SEARCH("maltais",B416))),"Autres pays d'Europe",IF(OR(ISNUMBER(SEARCH("américain",B416)),ISNUMBER(SEARCH("mexicain",B416)),ISNUMBER(SEARCH("canadien",B416)),ISNUMBER(SEARCH("brésilien",B416)),ISNUMBER(SEARCH("argentin",B416))),"Amérique",IF(OR(ISNUMBER(SEARCH("chinois",B416)),ISNUMBER(SEARCH("japonais",B416)),ISNUMBER(SEARCH("coréen",B416)),ISNUMBER(SEARCH("indien",B416)),ISNUMBER(SEARCH("persan",B416)),ISNUMBER(SEARCH("iranien",B416))),"Asie","(non classée)"))))</f>
        <v/>
      </c>
    </row>
    <row r="417">
      <c r="A417" s="2" t="inlineStr">
        <is>
          <t>JEAN-BAPTISTE LEMOYNE</t>
        </is>
      </c>
      <c r="B417" s="2" t="inlineStr">
        <is>
          <t>française</t>
        </is>
      </c>
      <c r="C417" s="2" t="inlineStr">
        <is>
          <t>sculpture</t>
        </is>
      </c>
      <c r="D417" s="2" t="inlineStr">
        <is>
          <t>18e</t>
        </is>
      </c>
      <c r="U417">
        <f>IF(ISNUMBER(SEARCH("fran",B417)),"France",IF(OR(ISNUMBER(SEARCH("italien",B417)),ISNUMBER(SEARCH("espagn",B417)),ISNUMBER(SEARCH("catalan",B417)),ISNUMBER(SEARCH("flamand",B417)),ISNUMBER(SEARCH("belge",B417)),ISNUMBER(SEARCH("hollandais",B417)),ISNUMBER(SEARCH("néerlandais",B417)),ISNUMBER(SEARCH("allemand",B417)),ISNUMBER(SEARCH("autrichien",B417)),ISNUMBER(SEARCH("suisse",B417)),ISNUMBER(SEARCH("anglais",B417)),ISNUMBER(SEARCH("britannique",B417)),ISNUMBER(SEARCH("écossais",B417)),ISNUMBER(SEARCH("irlandais",B417)),ISNUMBER(SEARCH("russe",B417)),ISNUMBER(SEARCH("portugais",B417)),ISNUMBER(SEARCH("danois",B417)),ISNUMBER(SEARCH("norvégien",B417)),ISNUMBER(SEARCH("suédois",B417)),ISNUMBER(SEARCH("finlandais",B417)),ISNUMBER(SEARCH("polonais",B417)),ISNUMBER(SEARCH("tchèque",B417)),ISNUMBER(SEARCH("hongrois",B417)),ISNUMBER(SEARCH("grec",B417)),ISNUMBER(SEARCH("byzantin",B417)),ISNUMBER(SEARCH("croate",B417)),ISNUMBER(SEARCH("ukrainien",B417)),ISNUMBER(SEARCH("bulgare",B417)),ISNUMBER(SEARCH("biélorusse",B417)),ISNUMBER(SEARCH("maltais",B417))),"Autres pays d'Europe",IF(OR(ISNUMBER(SEARCH("américain",B417)),ISNUMBER(SEARCH("mexicain",B417)),ISNUMBER(SEARCH("canadien",B417)),ISNUMBER(SEARCH("brésilien",B417)),ISNUMBER(SEARCH("argentin",B417))),"Amérique",IF(OR(ISNUMBER(SEARCH("chinois",B417)),ISNUMBER(SEARCH("japonais",B417)),ISNUMBER(SEARCH("coréen",B417)),ISNUMBER(SEARCH("indien",B417)),ISNUMBER(SEARCH("persan",B417)),ISNUMBER(SEARCH("iranien",B417))),"Asie","(non classée)"))))</f>
        <v/>
      </c>
    </row>
    <row r="418">
      <c r="A418" s="2" t="inlineStr">
        <is>
          <t>JEAN-BAPTISTE OUDRY</t>
        </is>
      </c>
      <c r="B418" s="2" t="inlineStr">
        <is>
          <t>française</t>
        </is>
      </c>
      <c r="C418" s="2" t="inlineStr">
        <is>
          <t>peinture</t>
        </is>
      </c>
      <c r="D418" s="2" t="inlineStr">
        <is>
          <t>18e</t>
        </is>
      </c>
      <c r="U418">
        <f>IF(ISNUMBER(SEARCH("fran",B418)),"France",IF(OR(ISNUMBER(SEARCH("italien",B418)),ISNUMBER(SEARCH("espagn",B418)),ISNUMBER(SEARCH("catalan",B418)),ISNUMBER(SEARCH("flamand",B418)),ISNUMBER(SEARCH("belge",B418)),ISNUMBER(SEARCH("hollandais",B418)),ISNUMBER(SEARCH("néerlandais",B418)),ISNUMBER(SEARCH("allemand",B418)),ISNUMBER(SEARCH("autrichien",B418)),ISNUMBER(SEARCH("suisse",B418)),ISNUMBER(SEARCH("anglais",B418)),ISNUMBER(SEARCH("britannique",B418)),ISNUMBER(SEARCH("écossais",B418)),ISNUMBER(SEARCH("irlandais",B418)),ISNUMBER(SEARCH("russe",B418)),ISNUMBER(SEARCH("portugais",B418)),ISNUMBER(SEARCH("danois",B418)),ISNUMBER(SEARCH("norvégien",B418)),ISNUMBER(SEARCH("suédois",B418)),ISNUMBER(SEARCH("finlandais",B418)),ISNUMBER(SEARCH("polonais",B418)),ISNUMBER(SEARCH("tchèque",B418)),ISNUMBER(SEARCH("hongrois",B418)),ISNUMBER(SEARCH("grec",B418)),ISNUMBER(SEARCH("byzantin",B418)),ISNUMBER(SEARCH("croate",B418)),ISNUMBER(SEARCH("ukrainien",B418)),ISNUMBER(SEARCH("bulgare",B418)),ISNUMBER(SEARCH("biélorusse",B418)),ISNUMBER(SEARCH("maltais",B418))),"Autres pays d'Europe",IF(OR(ISNUMBER(SEARCH("américain",B418)),ISNUMBER(SEARCH("mexicain",B418)),ISNUMBER(SEARCH("canadien",B418)),ISNUMBER(SEARCH("brésilien",B418)),ISNUMBER(SEARCH("argentin",B418))),"Amérique",IF(OR(ISNUMBER(SEARCH("chinois",B418)),ISNUMBER(SEARCH("japonais",B418)),ISNUMBER(SEARCH("coréen",B418)),ISNUMBER(SEARCH("indien",B418)),ISNUMBER(SEARCH("persan",B418)),ISNUMBER(SEARCH("iranien",B418))),"Asie","(non classée)"))))</f>
        <v/>
      </c>
    </row>
    <row r="419">
      <c r="A419" s="2" t="inlineStr">
        <is>
          <t>JEAN-BAPTISTE PIGALLE</t>
        </is>
      </c>
      <c r="B419" s="2" t="inlineStr">
        <is>
          <t>française</t>
        </is>
      </c>
      <c r="C419" s="2" t="inlineStr">
        <is>
          <t>sculpture</t>
        </is>
      </c>
      <c r="D419" s="2" t="inlineStr">
        <is>
          <t>18e</t>
        </is>
      </c>
      <c r="U419">
        <f>IF(ISNUMBER(SEARCH("fran",B419)),"France",IF(OR(ISNUMBER(SEARCH("italien",B419)),ISNUMBER(SEARCH("espagn",B419)),ISNUMBER(SEARCH("catalan",B419)),ISNUMBER(SEARCH("flamand",B419)),ISNUMBER(SEARCH("belge",B419)),ISNUMBER(SEARCH("hollandais",B419)),ISNUMBER(SEARCH("néerlandais",B419)),ISNUMBER(SEARCH("allemand",B419)),ISNUMBER(SEARCH("autrichien",B419)),ISNUMBER(SEARCH("suisse",B419)),ISNUMBER(SEARCH("anglais",B419)),ISNUMBER(SEARCH("britannique",B419)),ISNUMBER(SEARCH("écossais",B419)),ISNUMBER(SEARCH("irlandais",B419)),ISNUMBER(SEARCH("russe",B419)),ISNUMBER(SEARCH("portugais",B419)),ISNUMBER(SEARCH("danois",B419)),ISNUMBER(SEARCH("norvégien",B419)),ISNUMBER(SEARCH("suédois",B419)),ISNUMBER(SEARCH("finlandais",B419)),ISNUMBER(SEARCH("polonais",B419)),ISNUMBER(SEARCH("tchèque",B419)),ISNUMBER(SEARCH("hongrois",B419)),ISNUMBER(SEARCH("grec",B419)),ISNUMBER(SEARCH("byzantin",B419)),ISNUMBER(SEARCH("croate",B419)),ISNUMBER(SEARCH("ukrainien",B419)),ISNUMBER(SEARCH("bulgare",B419)),ISNUMBER(SEARCH("biélorusse",B419)),ISNUMBER(SEARCH("maltais",B419))),"Autres pays d'Europe",IF(OR(ISNUMBER(SEARCH("américain",B419)),ISNUMBER(SEARCH("mexicain",B419)),ISNUMBER(SEARCH("canadien",B419)),ISNUMBER(SEARCH("brésilien",B419)),ISNUMBER(SEARCH("argentin",B419))),"Amérique",IF(OR(ISNUMBER(SEARCH("chinois",B419)),ISNUMBER(SEARCH("japonais",B419)),ISNUMBER(SEARCH("coréen",B419)),ISNUMBER(SEARCH("indien",B419)),ISNUMBER(SEARCH("persan",B419)),ISNUMBER(SEARCH("iranien",B419))),"Asie","(non classée)"))))</f>
        <v/>
      </c>
    </row>
    <row r="420">
      <c r="A420" s="2" t="inlineStr">
        <is>
          <t>JEAN-BAPTISTE PERRONNEAU</t>
        </is>
      </c>
      <c r="B420" s="2" t="inlineStr">
        <is>
          <t>française</t>
        </is>
      </c>
      <c r="C420" s="2" t="inlineStr">
        <is>
          <t>peinture</t>
        </is>
      </c>
      <c r="D420" s="2" t="inlineStr">
        <is>
          <t>18e</t>
        </is>
      </c>
      <c r="U420">
        <f>IF(ISNUMBER(SEARCH("fran",B420)),"France",IF(OR(ISNUMBER(SEARCH("italien",B420)),ISNUMBER(SEARCH("espagn",B420)),ISNUMBER(SEARCH("catalan",B420)),ISNUMBER(SEARCH("flamand",B420)),ISNUMBER(SEARCH("belge",B420)),ISNUMBER(SEARCH("hollandais",B420)),ISNUMBER(SEARCH("néerlandais",B420)),ISNUMBER(SEARCH("allemand",B420)),ISNUMBER(SEARCH("autrichien",B420)),ISNUMBER(SEARCH("suisse",B420)),ISNUMBER(SEARCH("anglais",B420)),ISNUMBER(SEARCH("britannique",B420)),ISNUMBER(SEARCH("écossais",B420)),ISNUMBER(SEARCH("irlandais",B420)),ISNUMBER(SEARCH("russe",B420)),ISNUMBER(SEARCH("portugais",B420)),ISNUMBER(SEARCH("danois",B420)),ISNUMBER(SEARCH("norvégien",B420)),ISNUMBER(SEARCH("suédois",B420)),ISNUMBER(SEARCH("finlandais",B420)),ISNUMBER(SEARCH("polonais",B420)),ISNUMBER(SEARCH("tchèque",B420)),ISNUMBER(SEARCH("hongrois",B420)),ISNUMBER(SEARCH("grec",B420)),ISNUMBER(SEARCH("byzantin",B420)),ISNUMBER(SEARCH("croate",B420)),ISNUMBER(SEARCH("ukrainien",B420)),ISNUMBER(SEARCH("bulgare",B420)),ISNUMBER(SEARCH("biélorusse",B420)),ISNUMBER(SEARCH("maltais",B420))),"Autres pays d'Europe",IF(OR(ISNUMBER(SEARCH("américain",B420)),ISNUMBER(SEARCH("mexicain",B420)),ISNUMBER(SEARCH("canadien",B420)),ISNUMBER(SEARCH("brésilien",B420)),ISNUMBER(SEARCH("argentin",B420))),"Amérique",IF(OR(ISNUMBER(SEARCH("chinois",B420)),ISNUMBER(SEARCH("japonais",B420)),ISNUMBER(SEARCH("coréen",B420)),ISNUMBER(SEARCH("indien",B420)),ISNUMBER(SEARCH("persan",B420)),ISNUMBER(SEARCH("iranien",B420))),"Asie","(non classée)"))))</f>
        <v/>
      </c>
    </row>
    <row r="421">
      <c r="A421" s="2" t="inlineStr">
        <is>
          <t>JEAN-BAPTISTE STOUF</t>
        </is>
      </c>
      <c r="B421" s="2" t="inlineStr">
        <is>
          <t>française</t>
        </is>
      </c>
      <c r="C421" s="2" t="inlineStr">
        <is>
          <t>sculpture</t>
        </is>
      </c>
      <c r="D421" s="2" t="inlineStr">
        <is>
          <t>18e</t>
        </is>
      </c>
      <c r="U421">
        <f>IF(ISNUMBER(SEARCH("fran",B421)),"France",IF(OR(ISNUMBER(SEARCH("italien",B421)),ISNUMBER(SEARCH("espagn",B421)),ISNUMBER(SEARCH("catalan",B421)),ISNUMBER(SEARCH("flamand",B421)),ISNUMBER(SEARCH("belge",B421)),ISNUMBER(SEARCH("hollandais",B421)),ISNUMBER(SEARCH("néerlandais",B421)),ISNUMBER(SEARCH("allemand",B421)),ISNUMBER(SEARCH("autrichien",B421)),ISNUMBER(SEARCH("suisse",B421)),ISNUMBER(SEARCH("anglais",B421)),ISNUMBER(SEARCH("britannique",B421)),ISNUMBER(SEARCH("écossais",B421)),ISNUMBER(SEARCH("irlandais",B421)),ISNUMBER(SEARCH("russe",B421)),ISNUMBER(SEARCH("portugais",B421)),ISNUMBER(SEARCH("danois",B421)),ISNUMBER(SEARCH("norvégien",B421)),ISNUMBER(SEARCH("suédois",B421)),ISNUMBER(SEARCH("finlandais",B421)),ISNUMBER(SEARCH("polonais",B421)),ISNUMBER(SEARCH("tchèque",B421)),ISNUMBER(SEARCH("hongrois",B421)),ISNUMBER(SEARCH("grec",B421)),ISNUMBER(SEARCH("byzantin",B421)),ISNUMBER(SEARCH("croate",B421)),ISNUMBER(SEARCH("ukrainien",B421)),ISNUMBER(SEARCH("bulgare",B421)),ISNUMBER(SEARCH("biélorusse",B421)),ISNUMBER(SEARCH("maltais",B421))),"Autres pays d'Europe",IF(OR(ISNUMBER(SEARCH("américain",B421)),ISNUMBER(SEARCH("mexicain",B421)),ISNUMBER(SEARCH("canadien",B421)),ISNUMBER(SEARCH("brésilien",B421)),ISNUMBER(SEARCH("argentin",B421))),"Amérique",IF(OR(ISNUMBER(SEARCH("chinois",B421)),ISNUMBER(SEARCH("japonais",B421)),ISNUMBER(SEARCH("coréen",B421)),ISNUMBER(SEARCH("indien",B421)),ISNUMBER(SEARCH("persan",B421)),ISNUMBER(SEARCH("iranien",B421))),"Asie","(non classée)"))))</f>
        <v/>
      </c>
    </row>
    <row r="422">
      <c r="A422" s="2" t="inlineStr">
        <is>
          <t>JEAN-BAPTISTE TUBY</t>
        </is>
      </c>
      <c r="B422" s="2" t="inlineStr">
        <is>
          <t>française</t>
        </is>
      </c>
      <c r="C422" s="2" t="inlineStr">
        <is>
          <t>sculpture</t>
        </is>
      </c>
      <c r="D422" s="2" t="inlineStr">
        <is>
          <t>17e</t>
        </is>
      </c>
      <c r="U422">
        <f>IF(ISNUMBER(SEARCH("fran",B422)),"France",IF(OR(ISNUMBER(SEARCH("italien",B422)),ISNUMBER(SEARCH("espagn",B422)),ISNUMBER(SEARCH("catalan",B422)),ISNUMBER(SEARCH("flamand",B422)),ISNUMBER(SEARCH("belge",B422)),ISNUMBER(SEARCH("hollandais",B422)),ISNUMBER(SEARCH("néerlandais",B422)),ISNUMBER(SEARCH("allemand",B422)),ISNUMBER(SEARCH("autrichien",B422)),ISNUMBER(SEARCH("suisse",B422)),ISNUMBER(SEARCH("anglais",B422)),ISNUMBER(SEARCH("britannique",B422)),ISNUMBER(SEARCH("écossais",B422)),ISNUMBER(SEARCH("irlandais",B422)),ISNUMBER(SEARCH("russe",B422)),ISNUMBER(SEARCH("portugais",B422)),ISNUMBER(SEARCH("danois",B422)),ISNUMBER(SEARCH("norvégien",B422)),ISNUMBER(SEARCH("suédois",B422)),ISNUMBER(SEARCH("finlandais",B422)),ISNUMBER(SEARCH("polonais",B422)),ISNUMBER(SEARCH("tchèque",B422)),ISNUMBER(SEARCH("hongrois",B422)),ISNUMBER(SEARCH("grec",B422)),ISNUMBER(SEARCH("byzantin",B422)),ISNUMBER(SEARCH("croate",B422)),ISNUMBER(SEARCH("ukrainien",B422)),ISNUMBER(SEARCH("bulgare",B422)),ISNUMBER(SEARCH("biélorusse",B422)),ISNUMBER(SEARCH("maltais",B422))),"Autres pays d'Europe",IF(OR(ISNUMBER(SEARCH("américain",B422)),ISNUMBER(SEARCH("mexicain",B422)),ISNUMBER(SEARCH("canadien",B422)),ISNUMBER(SEARCH("brésilien",B422)),ISNUMBER(SEARCH("argentin",B422))),"Amérique",IF(OR(ISNUMBER(SEARCH("chinois",B422)),ISNUMBER(SEARCH("japonais",B422)),ISNUMBER(SEARCH("coréen",B422)),ISNUMBER(SEARCH("indien",B422)),ISNUMBER(SEARCH("persan",B422)),ISNUMBER(SEARCH("iranien",B422))),"Asie","(non classée)"))))</f>
        <v/>
      </c>
    </row>
    <row r="423">
      <c r="A423" s="2" t="inlineStr">
        <is>
          <t>JEAN-BAPTISTE-SIMÉON CHARDIN</t>
        </is>
      </c>
      <c r="B423" s="2" t="inlineStr">
        <is>
          <t>française</t>
        </is>
      </c>
      <c r="C423" s="2" t="inlineStr">
        <is>
          <t>peinture</t>
        </is>
      </c>
      <c r="D423" s="2" t="inlineStr">
        <is>
          <t>18e</t>
        </is>
      </c>
      <c r="U423">
        <f>IF(ISNUMBER(SEARCH("fran",B423)),"France",IF(OR(ISNUMBER(SEARCH("italien",B423)),ISNUMBER(SEARCH("espagn",B423)),ISNUMBER(SEARCH("catalan",B423)),ISNUMBER(SEARCH("flamand",B423)),ISNUMBER(SEARCH("belge",B423)),ISNUMBER(SEARCH("hollandais",B423)),ISNUMBER(SEARCH("néerlandais",B423)),ISNUMBER(SEARCH("allemand",B423)),ISNUMBER(SEARCH("autrichien",B423)),ISNUMBER(SEARCH("suisse",B423)),ISNUMBER(SEARCH("anglais",B423)),ISNUMBER(SEARCH("britannique",B423)),ISNUMBER(SEARCH("écossais",B423)),ISNUMBER(SEARCH("irlandais",B423)),ISNUMBER(SEARCH("russe",B423)),ISNUMBER(SEARCH("portugais",B423)),ISNUMBER(SEARCH("danois",B423)),ISNUMBER(SEARCH("norvégien",B423)),ISNUMBER(SEARCH("suédois",B423)),ISNUMBER(SEARCH("finlandais",B423)),ISNUMBER(SEARCH("polonais",B423)),ISNUMBER(SEARCH("tchèque",B423)),ISNUMBER(SEARCH("hongrois",B423)),ISNUMBER(SEARCH("grec",B423)),ISNUMBER(SEARCH("byzantin",B423)),ISNUMBER(SEARCH("croate",B423)),ISNUMBER(SEARCH("ukrainien",B423)),ISNUMBER(SEARCH("bulgare",B423)),ISNUMBER(SEARCH("biélorusse",B423)),ISNUMBER(SEARCH("maltais",B423))),"Autres pays d'Europe",IF(OR(ISNUMBER(SEARCH("américain",B423)),ISNUMBER(SEARCH("mexicain",B423)),ISNUMBER(SEARCH("canadien",B423)),ISNUMBER(SEARCH("brésilien",B423)),ISNUMBER(SEARCH("argentin",B423))),"Amérique",IF(OR(ISNUMBER(SEARCH("chinois",B423)),ISNUMBER(SEARCH("japonais",B423)),ISNUMBER(SEARCH("coréen",B423)),ISNUMBER(SEARCH("indien",B423)),ISNUMBER(SEARCH("persan",B423)),ISNUMBER(SEARCH("iranien",B423))),"Asie","(non classée)"))))</f>
        <v/>
      </c>
    </row>
    <row r="424">
      <c r="A424" s="2" t="inlineStr">
        <is>
          <t>JEAN-FRANÇOIS MILLET</t>
        </is>
      </c>
      <c r="B424" s="2" t="inlineStr">
        <is>
          <t>française</t>
        </is>
      </c>
      <c r="C424" s="2" t="inlineStr">
        <is>
          <t>peinture</t>
        </is>
      </c>
      <c r="D424" s="2" t="inlineStr">
        <is>
          <t>19e</t>
        </is>
      </c>
      <c r="U424">
        <f>IF(ISNUMBER(SEARCH("fran",B424)),"France",IF(OR(ISNUMBER(SEARCH("italien",B424)),ISNUMBER(SEARCH("espagn",B424)),ISNUMBER(SEARCH("catalan",B424)),ISNUMBER(SEARCH("flamand",B424)),ISNUMBER(SEARCH("belge",B424)),ISNUMBER(SEARCH("hollandais",B424)),ISNUMBER(SEARCH("néerlandais",B424)),ISNUMBER(SEARCH("allemand",B424)),ISNUMBER(SEARCH("autrichien",B424)),ISNUMBER(SEARCH("suisse",B424)),ISNUMBER(SEARCH("anglais",B424)),ISNUMBER(SEARCH("britannique",B424)),ISNUMBER(SEARCH("écossais",B424)),ISNUMBER(SEARCH("irlandais",B424)),ISNUMBER(SEARCH("russe",B424)),ISNUMBER(SEARCH("portugais",B424)),ISNUMBER(SEARCH("danois",B424)),ISNUMBER(SEARCH("norvégien",B424)),ISNUMBER(SEARCH("suédois",B424)),ISNUMBER(SEARCH("finlandais",B424)),ISNUMBER(SEARCH("polonais",B424)),ISNUMBER(SEARCH("tchèque",B424)),ISNUMBER(SEARCH("hongrois",B424)),ISNUMBER(SEARCH("grec",B424)),ISNUMBER(SEARCH("byzantin",B424)),ISNUMBER(SEARCH("croate",B424)),ISNUMBER(SEARCH("ukrainien",B424)),ISNUMBER(SEARCH("bulgare",B424)),ISNUMBER(SEARCH("biélorusse",B424)),ISNUMBER(SEARCH("maltais",B424))),"Autres pays d'Europe",IF(OR(ISNUMBER(SEARCH("américain",B424)),ISNUMBER(SEARCH("mexicain",B424)),ISNUMBER(SEARCH("canadien",B424)),ISNUMBER(SEARCH("brésilien",B424)),ISNUMBER(SEARCH("argentin",B424))),"Amérique",IF(OR(ISNUMBER(SEARCH("chinois",B424)),ISNUMBER(SEARCH("japonais",B424)),ISNUMBER(SEARCH("coréen",B424)),ISNUMBER(SEARCH("indien",B424)),ISNUMBER(SEARCH("persan",B424)),ISNUMBER(SEARCH("iranien",B424))),"Asie","(non classée)"))))</f>
        <v/>
      </c>
    </row>
    <row r="425">
      <c r="A425" s="2" t="inlineStr">
        <is>
          <t>JEAN-GUILLAUME MOITTE</t>
        </is>
      </c>
      <c r="B425" s="2" t="inlineStr">
        <is>
          <t>française</t>
        </is>
      </c>
      <c r="C425" s="2" t="inlineStr">
        <is>
          <t>sculpture</t>
        </is>
      </c>
      <c r="D425" s="2" t="inlineStr">
        <is>
          <t>18e</t>
        </is>
      </c>
      <c r="U425">
        <f>IF(ISNUMBER(SEARCH("fran",B425)),"France",IF(OR(ISNUMBER(SEARCH("italien",B425)),ISNUMBER(SEARCH("espagn",B425)),ISNUMBER(SEARCH("catalan",B425)),ISNUMBER(SEARCH("flamand",B425)),ISNUMBER(SEARCH("belge",B425)),ISNUMBER(SEARCH("hollandais",B425)),ISNUMBER(SEARCH("néerlandais",B425)),ISNUMBER(SEARCH("allemand",B425)),ISNUMBER(SEARCH("autrichien",B425)),ISNUMBER(SEARCH("suisse",B425)),ISNUMBER(SEARCH("anglais",B425)),ISNUMBER(SEARCH("britannique",B425)),ISNUMBER(SEARCH("écossais",B425)),ISNUMBER(SEARCH("irlandais",B425)),ISNUMBER(SEARCH("russe",B425)),ISNUMBER(SEARCH("portugais",B425)),ISNUMBER(SEARCH("danois",B425)),ISNUMBER(SEARCH("norvégien",B425)),ISNUMBER(SEARCH("suédois",B425)),ISNUMBER(SEARCH("finlandais",B425)),ISNUMBER(SEARCH("polonais",B425)),ISNUMBER(SEARCH("tchèque",B425)),ISNUMBER(SEARCH("hongrois",B425)),ISNUMBER(SEARCH("grec",B425)),ISNUMBER(SEARCH("byzantin",B425)),ISNUMBER(SEARCH("croate",B425)),ISNUMBER(SEARCH("ukrainien",B425)),ISNUMBER(SEARCH("bulgare",B425)),ISNUMBER(SEARCH("biélorusse",B425)),ISNUMBER(SEARCH("maltais",B425))),"Autres pays d'Europe",IF(OR(ISNUMBER(SEARCH("américain",B425)),ISNUMBER(SEARCH("mexicain",B425)),ISNUMBER(SEARCH("canadien",B425)),ISNUMBER(SEARCH("brésilien",B425)),ISNUMBER(SEARCH("argentin",B425))),"Amérique",IF(OR(ISNUMBER(SEARCH("chinois",B425)),ISNUMBER(SEARCH("japonais",B425)),ISNUMBER(SEARCH("coréen",B425)),ISNUMBER(SEARCH("indien",B425)),ISNUMBER(SEARCH("persan",B425)),ISNUMBER(SEARCH("iranien",B425))),"Asie","(non classée)"))))</f>
        <v/>
      </c>
    </row>
    <row r="426">
      <c r="A426" s="2" t="inlineStr">
        <is>
          <t>JEAN-HONORÉ FRAGONARD</t>
        </is>
      </c>
      <c r="B426" s="2" t="inlineStr">
        <is>
          <t>française</t>
        </is>
      </c>
      <c r="C426" s="2" t="inlineStr">
        <is>
          <t>peinture</t>
        </is>
      </c>
      <c r="D426" s="2" t="inlineStr">
        <is>
          <t>18e</t>
        </is>
      </c>
      <c r="U426">
        <f>IF(ISNUMBER(SEARCH("fran",B426)),"France",IF(OR(ISNUMBER(SEARCH("italien",B426)),ISNUMBER(SEARCH("espagn",B426)),ISNUMBER(SEARCH("catalan",B426)),ISNUMBER(SEARCH("flamand",B426)),ISNUMBER(SEARCH("belge",B426)),ISNUMBER(SEARCH("hollandais",B426)),ISNUMBER(SEARCH("néerlandais",B426)),ISNUMBER(SEARCH("allemand",B426)),ISNUMBER(SEARCH("autrichien",B426)),ISNUMBER(SEARCH("suisse",B426)),ISNUMBER(SEARCH("anglais",B426)),ISNUMBER(SEARCH("britannique",B426)),ISNUMBER(SEARCH("écossais",B426)),ISNUMBER(SEARCH("irlandais",B426)),ISNUMBER(SEARCH("russe",B426)),ISNUMBER(SEARCH("portugais",B426)),ISNUMBER(SEARCH("danois",B426)),ISNUMBER(SEARCH("norvégien",B426)),ISNUMBER(SEARCH("suédois",B426)),ISNUMBER(SEARCH("finlandais",B426)),ISNUMBER(SEARCH("polonais",B426)),ISNUMBER(SEARCH("tchèque",B426)),ISNUMBER(SEARCH("hongrois",B426)),ISNUMBER(SEARCH("grec",B426)),ISNUMBER(SEARCH("byzantin",B426)),ISNUMBER(SEARCH("croate",B426)),ISNUMBER(SEARCH("ukrainien",B426)),ISNUMBER(SEARCH("bulgare",B426)),ISNUMBER(SEARCH("biélorusse",B426)),ISNUMBER(SEARCH("maltais",B426))),"Autres pays d'Europe",IF(OR(ISNUMBER(SEARCH("américain",B426)),ISNUMBER(SEARCH("mexicain",B426)),ISNUMBER(SEARCH("canadien",B426)),ISNUMBER(SEARCH("brésilien",B426)),ISNUMBER(SEARCH("argentin",B426))),"Amérique",IF(OR(ISNUMBER(SEARCH("chinois",B426)),ISNUMBER(SEARCH("japonais",B426)),ISNUMBER(SEARCH("coréen",B426)),ISNUMBER(SEARCH("indien",B426)),ISNUMBER(SEARCH("persan",B426)),ISNUMBER(SEARCH("iranien",B426))),"Asie","(non classée)"))))</f>
        <v/>
      </c>
    </row>
    <row r="427">
      <c r="A427" s="2" t="inlineStr">
        <is>
          <t>JEAN-JACQUES CAFFIERI</t>
        </is>
      </c>
      <c r="B427" s="2" t="inlineStr">
        <is>
          <t>française</t>
        </is>
      </c>
      <c r="C427" s="2" t="inlineStr">
        <is>
          <t>sculpture</t>
        </is>
      </c>
      <c r="D427" s="2" t="inlineStr">
        <is>
          <t>18e</t>
        </is>
      </c>
      <c r="U427">
        <f>IF(ISNUMBER(SEARCH("fran",B427)),"France",IF(OR(ISNUMBER(SEARCH("italien",B427)),ISNUMBER(SEARCH("espagn",B427)),ISNUMBER(SEARCH("catalan",B427)),ISNUMBER(SEARCH("flamand",B427)),ISNUMBER(SEARCH("belge",B427)),ISNUMBER(SEARCH("hollandais",B427)),ISNUMBER(SEARCH("néerlandais",B427)),ISNUMBER(SEARCH("allemand",B427)),ISNUMBER(SEARCH("autrichien",B427)),ISNUMBER(SEARCH("suisse",B427)),ISNUMBER(SEARCH("anglais",B427)),ISNUMBER(SEARCH("britannique",B427)),ISNUMBER(SEARCH("écossais",B427)),ISNUMBER(SEARCH("irlandais",B427)),ISNUMBER(SEARCH("russe",B427)),ISNUMBER(SEARCH("portugais",B427)),ISNUMBER(SEARCH("danois",B427)),ISNUMBER(SEARCH("norvégien",B427)),ISNUMBER(SEARCH("suédois",B427)),ISNUMBER(SEARCH("finlandais",B427)),ISNUMBER(SEARCH("polonais",B427)),ISNUMBER(SEARCH("tchèque",B427)),ISNUMBER(SEARCH("hongrois",B427)),ISNUMBER(SEARCH("grec",B427)),ISNUMBER(SEARCH("byzantin",B427)),ISNUMBER(SEARCH("croate",B427)),ISNUMBER(SEARCH("ukrainien",B427)),ISNUMBER(SEARCH("bulgare",B427)),ISNUMBER(SEARCH("biélorusse",B427)),ISNUMBER(SEARCH("maltais",B427))),"Autres pays d'Europe",IF(OR(ISNUMBER(SEARCH("américain",B427)),ISNUMBER(SEARCH("mexicain",B427)),ISNUMBER(SEARCH("canadien",B427)),ISNUMBER(SEARCH("brésilien",B427)),ISNUMBER(SEARCH("argentin",B427))),"Amérique",IF(OR(ISNUMBER(SEARCH("chinois",B427)),ISNUMBER(SEARCH("japonais",B427)),ISNUMBER(SEARCH("coréen",B427)),ISNUMBER(SEARCH("indien",B427)),ISNUMBER(SEARCH("persan",B427)),ISNUMBER(SEARCH("iranien",B427))),"Asie","(non classée)"))))</f>
        <v/>
      </c>
    </row>
    <row r="428">
      <c r="A428" s="2" t="inlineStr">
        <is>
          <t>JEAN-JACQUES HENNER</t>
        </is>
      </c>
      <c r="B428" s="2" t="inlineStr">
        <is>
          <t>française</t>
        </is>
      </c>
      <c r="C428" s="2" t="inlineStr">
        <is>
          <t>peinture</t>
        </is>
      </c>
      <c r="D428" s="2" t="inlineStr">
        <is>
          <t>19e</t>
        </is>
      </c>
      <c r="U428">
        <f>IF(ISNUMBER(SEARCH("fran",B428)),"France",IF(OR(ISNUMBER(SEARCH("italien",B428)),ISNUMBER(SEARCH("espagn",B428)),ISNUMBER(SEARCH("catalan",B428)),ISNUMBER(SEARCH("flamand",B428)),ISNUMBER(SEARCH("belge",B428)),ISNUMBER(SEARCH("hollandais",B428)),ISNUMBER(SEARCH("néerlandais",B428)),ISNUMBER(SEARCH("allemand",B428)),ISNUMBER(SEARCH("autrichien",B428)),ISNUMBER(SEARCH("suisse",B428)),ISNUMBER(SEARCH("anglais",B428)),ISNUMBER(SEARCH("britannique",B428)),ISNUMBER(SEARCH("écossais",B428)),ISNUMBER(SEARCH("irlandais",B428)),ISNUMBER(SEARCH("russe",B428)),ISNUMBER(SEARCH("portugais",B428)),ISNUMBER(SEARCH("danois",B428)),ISNUMBER(SEARCH("norvégien",B428)),ISNUMBER(SEARCH("suédois",B428)),ISNUMBER(SEARCH("finlandais",B428)),ISNUMBER(SEARCH("polonais",B428)),ISNUMBER(SEARCH("tchèque",B428)),ISNUMBER(SEARCH("hongrois",B428)),ISNUMBER(SEARCH("grec",B428)),ISNUMBER(SEARCH("byzantin",B428)),ISNUMBER(SEARCH("croate",B428)),ISNUMBER(SEARCH("ukrainien",B428)),ISNUMBER(SEARCH("bulgare",B428)),ISNUMBER(SEARCH("biélorusse",B428)),ISNUMBER(SEARCH("maltais",B428))),"Autres pays d'Europe",IF(OR(ISNUMBER(SEARCH("américain",B428)),ISNUMBER(SEARCH("mexicain",B428)),ISNUMBER(SEARCH("canadien",B428)),ISNUMBER(SEARCH("brésilien",B428)),ISNUMBER(SEARCH("argentin",B428))),"Amérique",IF(OR(ISNUMBER(SEARCH("chinois",B428)),ISNUMBER(SEARCH("japonais",B428)),ISNUMBER(SEARCH("coréen",B428)),ISNUMBER(SEARCH("indien",B428)),ISNUMBER(SEARCH("persan",B428)),ISNUMBER(SEARCH("iranien",B428))),"Asie","(non classée)"))))</f>
        <v/>
      </c>
    </row>
    <row r="429">
      <c r="A429" s="2" t="inlineStr">
        <is>
          <t>JEAN-JOSEPH PERRAUD</t>
        </is>
      </c>
      <c r="B429" s="2" t="inlineStr">
        <is>
          <t>française</t>
        </is>
      </c>
      <c r="C429" s="2" t="inlineStr">
        <is>
          <t>sculpture</t>
        </is>
      </c>
      <c r="D429" s="2" t="inlineStr">
        <is>
          <t>19e</t>
        </is>
      </c>
      <c r="U429">
        <f>IF(ISNUMBER(SEARCH("fran",B429)),"France",IF(OR(ISNUMBER(SEARCH("italien",B429)),ISNUMBER(SEARCH("espagn",B429)),ISNUMBER(SEARCH("catalan",B429)),ISNUMBER(SEARCH("flamand",B429)),ISNUMBER(SEARCH("belge",B429)),ISNUMBER(SEARCH("hollandais",B429)),ISNUMBER(SEARCH("néerlandais",B429)),ISNUMBER(SEARCH("allemand",B429)),ISNUMBER(SEARCH("autrichien",B429)),ISNUMBER(SEARCH("suisse",B429)),ISNUMBER(SEARCH("anglais",B429)),ISNUMBER(SEARCH("britannique",B429)),ISNUMBER(SEARCH("écossais",B429)),ISNUMBER(SEARCH("irlandais",B429)),ISNUMBER(SEARCH("russe",B429)),ISNUMBER(SEARCH("portugais",B429)),ISNUMBER(SEARCH("danois",B429)),ISNUMBER(SEARCH("norvégien",B429)),ISNUMBER(SEARCH("suédois",B429)),ISNUMBER(SEARCH("finlandais",B429)),ISNUMBER(SEARCH("polonais",B429)),ISNUMBER(SEARCH("tchèque",B429)),ISNUMBER(SEARCH("hongrois",B429)),ISNUMBER(SEARCH("grec",B429)),ISNUMBER(SEARCH("byzantin",B429)),ISNUMBER(SEARCH("croate",B429)),ISNUMBER(SEARCH("ukrainien",B429)),ISNUMBER(SEARCH("bulgare",B429)),ISNUMBER(SEARCH("biélorusse",B429)),ISNUMBER(SEARCH("maltais",B429))),"Autres pays d'Europe",IF(OR(ISNUMBER(SEARCH("américain",B429)),ISNUMBER(SEARCH("mexicain",B429)),ISNUMBER(SEARCH("canadien",B429)),ISNUMBER(SEARCH("brésilien",B429)),ISNUMBER(SEARCH("argentin",B429))),"Amérique",IF(OR(ISNUMBER(SEARCH("chinois",B429)),ISNUMBER(SEARCH("japonais",B429)),ISNUMBER(SEARCH("coréen",B429)),ISNUMBER(SEARCH("indien",B429)),ISNUMBER(SEARCH("persan",B429)),ISNUMBER(SEARCH("iranien",B429))),"Asie","(non classée)"))))</f>
        <v/>
      </c>
    </row>
    <row r="430">
      <c r="A430" s="2" t="inlineStr">
        <is>
          <t>JEAN-LÉON GÉRÔME</t>
        </is>
      </c>
      <c r="B430" s="2" t="inlineStr">
        <is>
          <t>française</t>
        </is>
      </c>
      <c r="C430" s="2" t="inlineStr">
        <is>
          <t>peinture, sculpture</t>
        </is>
      </c>
      <c r="D430" s="2" t="inlineStr">
        <is>
          <t>19e</t>
        </is>
      </c>
      <c r="U430">
        <f>IF(ISNUMBER(SEARCH("fran",B430)),"France",IF(OR(ISNUMBER(SEARCH("italien",B430)),ISNUMBER(SEARCH("espagn",B430)),ISNUMBER(SEARCH("catalan",B430)),ISNUMBER(SEARCH("flamand",B430)),ISNUMBER(SEARCH("belge",B430)),ISNUMBER(SEARCH("hollandais",B430)),ISNUMBER(SEARCH("néerlandais",B430)),ISNUMBER(SEARCH("allemand",B430)),ISNUMBER(SEARCH("autrichien",B430)),ISNUMBER(SEARCH("suisse",B430)),ISNUMBER(SEARCH("anglais",B430)),ISNUMBER(SEARCH("britannique",B430)),ISNUMBER(SEARCH("écossais",B430)),ISNUMBER(SEARCH("irlandais",B430)),ISNUMBER(SEARCH("russe",B430)),ISNUMBER(SEARCH("portugais",B430)),ISNUMBER(SEARCH("danois",B430)),ISNUMBER(SEARCH("norvégien",B430)),ISNUMBER(SEARCH("suédois",B430)),ISNUMBER(SEARCH("finlandais",B430)),ISNUMBER(SEARCH("polonais",B430)),ISNUMBER(SEARCH("tchèque",B430)),ISNUMBER(SEARCH("hongrois",B430)),ISNUMBER(SEARCH("grec",B430)),ISNUMBER(SEARCH("byzantin",B430)),ISNUMBER(SEARCH("croate",B430)),ISNUMBER(SEARCH("ukrainien",B430)),ISNUMBER(SEARCH("bulgare",B430)),ISNUMBER(SEARCH("biélorusse",B430)),ISNUMBER(SEARCH("maltais",B430))),"Autres pays d'Europe",IF(OR(ISNUMBER(SEARCH("américain",B430)),ISNUMBER(SEARCH("mexicain",B430)),ISNUMBER(SEARCH("canadien",B430)),ISNUMBER(SEARCH("brésilien",B430)),ISNUMBER(SEARCH("argentin",B430))),"Amérique",IF(OR(ISNUMBER(SEARCH("chinois",B430)),ISNUMBER(SEARCH("japonais",B430)),ISNUMBER(SEARCH("coréen",B430)),ISNUMBER(SEARCH("indien",B430)),ISNUMBER(SEARCH("persan",B430)),ISNUMBER(SEARCH("iranien",B430))),"Asie","(non classée)"))))</f>
        <v/>
      </c>
    </row>
    <row r="431">
      <c r="A431" s="2" t="inlineStr">
        <is>
          <t>JEAN-MARC NATTIER</t>
        </is>
      </c>
      <c r="B431" s="2" t="inlineStr">
        <is>
          <t>française</t>
        </is>
      </c>
      <c r="C431" s="2" t="inlineStr">
        <is>
          <t>peinture</t>
        </is>
      </c>
      <c r="D431" s="2" t="inlineStr">
        <is>
          <t>18e</t>
        </is>
      </c>
      <c r="U431">
        <f>IF(ISNUMBER(SEARCH("fran",B431)),"France",IF(OR(ISNUMBER(SEARCH("italien",B431)),ISNUMBER(SEARCH("espagn",B431)),ISNUMBER(SEARCH("catalan",B431)),ISNUMBER(SEARCH("flamand",B431)),ISNUMBER(SEARCH("belge",B431)),ISNUMBER(SEARCH("hollandais",B431)),ISNUMBER(SEARCH("néerlandais",B431)),ISNUMBER(SEARCH("allemand",B431)),ISNUMBER(SEARCH("autrichien",B431)),ISNUMBER(SEARCH("suisse",B431)),ISNUMBER(SEARCH("anglais",B431)),ISNUMBER(SEARCH("britannique",B431)),ISNUMBER(SEARCH("écossais",B431)),ISNUMBER(SEARCH("irlandais",B431)),ISNUMBER(SEARCH("russe",B431)),ISNUMBER(SEARCH("portugais",B431)),ISNUMBER(SEARCH("danois",B431)),ISNUMBER(SEARCH("norvégien",B431)),ISNUMBER(SEARCH("suédois",B431)),ISNUMBER(SEARCH("finlandais",B431)),ISNUMBER(SEARCH("polonais",B431)),ISNUMBER(SEARCH("tchèque",B431)),ISNUMBER(SEARCH("hongrois",B431)),ISNUMBER(SEARCH("grec",B431)),ISNUMBER(SEARCH("byzantin",B431)),ISNUMBER(SEARCH("croate",B431)),ISNUMBER(SEARCH("ukrainien",B431)),ISNUMBER(SEARCH("bulgare",B431)),ISNUMBER(SEARCH("biélorusse",B431)),ISNUMBER(SEARCH("maltais",B431))),"Autres pays d'Europe",IF(OR(ISNUMBER(SEARCH("américain",B431)),ISNUMBER(SEARCH("mexicain",B431)),ISNUMBER(SEARCH("canadien",B431)),ISNUMBER(SEARCH("brésilien",B431)),ISNUMBER(SEARCH("argentin",B431))),"Amérique",IF(OR(ISNUMBER(SEARCH("chinois",B431)),ISNUMBER(SEARCH("japonais",B431)),ISNUMBER(SEARCH("coréen",B431)),ISNUMBER(SEARCH("indien",B431)),ISNUMBER(SEARCH("persan",B431)),ISNUMBER(SEARCH("iranien",B431))),"Asie","(non classée)"))))</f>
        <v/>
      </c>
    </row>
    <row r="432">
      <c r="A432" s="2" t="inlineStr">
        <is>
          <t>JEAN-ÉTIENNE LIOTARD</t>
        </is>
      </c>
      <c r="B432" s="2" t="inlineStr">
        <is>
          <t>française</t>
        </is>
      </c>
      <c r="C432" s="2" t="inlineStr">
        <is>
          <t>peinture</t>
        </is>
      </c>
      <c r="D432" s="2" t="inlineStr">
        <is>
          <t>18e</t>
        </is>
      </c>
      <c r="U432">
        <f>IF(ISNUMBER(SEARCH("fran",B432)),"France",IF(OR(ISNUMBER(SEARCH("italien",B432)),ISNUMBER(SEARCH("espagn",B432)),ISNUMBER(SEARCH("catalan",B432)),ISNUMBER(SEARCH("flamand",B432)),ISNUMBER(SEARCH("belge",B432)),ISNUMBER(SEARCH("hollandais",B432)),ISNUMBER(SEARCH("néerlandais",B432)),ISNUMBER(SEARCH("allemand",B432)),ISNUMBER(SEARCH("autrichien",B432)),ISNUMBER(SEARCH("suisse",B432)),ISNUMBER(SEARCH("anglais",B432)),ISNUMBER(SEARCH("britannique",B432)),ISNUMBER(SEARCH("écossais",B432)),ISNUMBER(SEARCH("irlandais",B432)),ISNUMBER(SEARCH("russe",B432)),ISNUMBER(SEARCH("portugais",B432)),ISNUMBER(SEARCH("danois",B432)),ISNUMBER(SEARCH("norvégien",B432)),ISNUMBER(SEARCH("suédois",B432)),ISNUMBER(SEARCH("finlandais",B432)),ISNUMBER(SEARCH("polonais",B432)),ISNUMBER(SEARCH("tchèque",B432)),ISNUMBER(SEARCH("hongrois",B432)),ISNUMBER(SEARCH("grec",B432)),ISNUMBER(SEARCH("byzantin",B432)),ISNUMBER(SEARCH("croate",B432)),ISNUMBER(SEARCH("ukrainien",B432)),ISNUMBER(SEARCH("bulgare",B432)),ISNUMBER(SEARCH("biélorusse",B432)),ISNUMBER(SEARCH("maltais",B432))),"Autres pays d'Europe",IF(OR(ISNUMBER(SEARCH("américain",B432)),ISNUMBER(SEARCH("mexicain",B432)),ISNUMBER(SEARCH("canadien",B432)),ISNUMBER(SEARCH("brésilien",B432)),ISNUMBER(SEARCH("argentin",B432))),"Amérique",IF(OR(ISNUMBER(SEARCH("chinois",B432)),ISNUMBER(SEARCH("japonais",B432)),ISNUMBER(SEARCH("coréen",B432)),ISNUMBER(SEARCH("indien",B432)),ISNUMBER(SEARCH("persan",B432)),ISNUMBER(SEARCH("iranien",B432))),"Asie","(non classée)"))))</f>
        <v/>
      </c>
    </row>
    <row r="433">
      <c r="A433" s="2" t="inlineStr">
        <is>
          <t>JEF LAMBEAUX</t>
        </is>
      </c>
      <c r="B433" s="2" t="inlineStr">
        <is>
          <t>belge</t>
        </is>
      </c>
      <c r="C433" s="2" t="inlineStr">
        <is>
          <t>sculpture</t>
        </is>
      </c>
      <c r="D433" s="2" t="inlineStr">
        <is>
          <t>19e</t>
        </is>
      </c>
      <c r="U433">
        <f>IF(ISNUMBER(SEARCH("fran",B433)),"France",IF(OR(ISNUMBER(SEARCH("italien",B433)),ISNUMBER(SEARCH("espagn",B433)),ISNUMBER(SEARCH("catalan",B433)),ISNUMBER(SEARCH("flamand",B433)),ISNUMBER(SEARCH("belge",B433)),ISNUMBER(SEARCH("hollandais",B433)),ISNUMBER(SEARCH("néerlandais",B433)),ISNUMBER(SEARCH("allemand",B433)),ISNUMBER(SEARCH("autrichien",B433)),ISNUMBER(SEARCH("suisse",B433)),ISNUMBER(SEARCH("anglais",B433)),ISNUMBER(SEARCH("britannique",B433)),ISNUMBER(SEARCH("écossais",B433)),ISNUMBER(SEARCH("irlandais",B433)),ISNUMBER(SEARCH("russe",B433)),ISNUMBER(SEARCH("portugais",B433)),ISNUMBER(SEARCH("danois",B433)),ISNUMBER(SEARCH("norvégien",B433)),ISNUMBER(SEARCH("suédois",B433)),ISNUMBER(SEARCH("finlandais",B433)),ISNUMBER(SEARCH("polonais",B433)),ISNUMBER(SEARCH("tchèque",B433)),ISNUMBER(SEARCH("hongrois",B433)),ISNUMBER(SEARCH("grec",B433)),ISNUMBER(SEARCH("byzantin",B433)),ISNUMBER(SEARCH("croate",B433)),ISNUMBER(SEARCH("ukrainien",B433)),ISNUMBER(SEARCH("bulgare",B433)),ISNUMBER(SEARCH("biélorusse",B433)),ISNUMBER(SEARCH("maltais",B433))),"Autres pays d'Europe",IF(OR(ISNUMBER(SEARCH("américain",B433)),ISNUMBER(SEARCH("mexicain",B433)),ISNUMBER(SEARCH("canadien",B433)),ISNUMBER(SEARCH("brésilien",B433)),ISNUMBER(SEARCH("argentin",B433))),"Amérique",IF(OR(ISNUMBER(SEARCH("chinois",B433)),ISNUMBER(SEARCH("japonais",B433)),ISNUMBER(SEARCH("coréen",B433)),ISNUMBER(SEARCH("indien",B433)),ISNUMBER(SEARCH("persan",B433)),ISNUMBER(SEARCH("iranien",B433))),"Asie","(non classée)"))))</f>
        <v/>
      </c>
    </row>
    <row r="434">
      <c r="A434" s="2" t="inlineStr">
        <is>
          <t>JERÓNIMO HERNÁNDEZ</t>
        </is>
      </c>
      <c r="B434" s="2" t="inlineStr">
        <is>
          <t>espagnole</t>
        </is>
      </c>
      <c r="C434" s="2" t="inlineStr">
        <is>
          <t>sculpture</t>
        </is>
      </c>
      <c r="D434" s="2" t="inlineStr">
        <is>
          <t>16e</t>
        </is>
      </c>
      <c r="U434">
        <f>IF(ISNUMBER(SEARCH("fran",B434)),"France",IF(OR(ISNUMBER(SEARCH("italien",B434)),ISNUMBER(SEARCH("espagn",B434)),ISNUMBER(SEARCH("catalan",B434)),ISNUMBER(SEARCH("flamand",B434)),ISNUMBER(SEARCH("belge",B434)),ISNUMBER(SEARCH("hollandais",B434)),ISNUMBER(SEARCH("néerlandais",B434)),ISNUMBER(SEARCH("allemand",B434)),ISNUMBER(SEARCH("autrichien",B434)),ISNUMBER(SEARCH("suisse",B434)),ISNUMBER(SEARCH("anglais",B434)),ISNUMBER(SEARCH("britannique",B434)),ISNUMBER(SEARCH("écossais",B434)),ISNUMBER(SEARCH("irlandais",B434)),ISNUMBER(SEARCH("russe",B434)),ISNUMBER(SEARCH("portugais",B434)),ISNUMBER(SEARCH("danois",B434)),ISNUMBER(SEARCH("norvégien",B434)),ISNUMBER(SEARCH("suédois",B434)),ISNUMBER(SEARCH("finlandais",B434)),ISNUMBER(SEARCH("polonais",B434)),ISNUMBER(SEARCH("tchèque",B434)),ISNUMBER(SEARCH("hongrois",B434)),ISNUMBER(SEARCH("grec",B434)),ISNUMBER(SEARCH("byzantin",B434)),ISNUMBER(SEARCH("croate",B434)),ISNUMBER(SEARCH("ukrainien",B434)),ISNUMBER(SEARCH("bulgare",B434)),ISNUMBER(SEARCH("biélorusse",B434)),ISNUMBER(SEARCH("maltais",B434))),"Autres pays d'Europe",IF(OR(ISNUMBER(SEARCH("américain",B434)),ISNUMBER(SEARCH("mexicain",B434)),ISNUMBER(SEARCH("canadien",B434)),ISNUMBER(SEARCH("brésilien",B434)),ISNUMBER(SEARCH("argentin",B434))),"Amérique",IF(OR(ISNUMBER(SEARCH("chinois",B434)),ISNUMBER(SEARCH("japonais",B434)),ISNUMBER(SEARCH("coréen",B434)),ISNUMBER(SEARCH("indien",B434)),ISNUMBER(SEARCH("persan",B434)),ISNUMBER(SEARCH("iranien",B434))),"Asie","(non classée)"))))</f>
        <v/>
      </c>
    </row>
    <row r="435">
      <c r="A435" s="2" t="inlineStr">
        <is>
          <t>JOACHIM BEUCKELAER</t>
        </is>
      </c>
      <c r="B435" s="2" t="inlineStr">
        <is>
          <t>flamande (Belgique)</t>
        </is>
      </c>
      <c r="C435" s="2" t="inlineStr">
        <is>
          <t>peinture</t>
        </is>
      </c>
      <c r="D435" s="2" t="inlineStr">
        <is>
          <t>16e</t>
        </is>
      </c>
      <c r="U435">
        <f>IF(ISNUMBER(SEARCH("fran",B435)),"France",IF(OR(ISNUMBER(SEARCH("italien",B435)),ISNUMBER(SEARCH("espagn",B435)),ISNUMBER(SEARCH("catalan",B435)),ISNUMBER(SEARCH("flamand",B435)),ISNUMBER(SEARCH("belge",B435)),ISNUMBER(SEARCH("hollandais",B435)),ISNUMBER(SEARCH("néerlandais",B435)),ISNUMBER(SEARCH("allemand",B435)),ISNUMBER(SEARCH("autrichien",B435)),ISNUMBER(SEARCH("suisse",B435)),ISNUMBER(SEARCH("anglais",B435)),ISNUMBER(SEARCH("britannique",B435)),ISNUMBER(SEARCH("écossais",B435)),ISNUMBER(SEARCH("irlandais",B435)),ISNUMBER(SEARCH("russe",B435)),ISNUMBER(SEARCH("portugais",B435)),ISNUMBER(SEARCH("danois",B435)),ISNUMBER(SEARCH("norvégien",B435)),ISNUMBER(SEARCH("suédois",B435)),ISNUMBER(SEARCH("finlandais",B435)),ISNUMBER(SEARCH("polonais",B435)),ISNUMBER(SEARCH("tchèque",B435)),ISNUMBER(SEARCH("hongrois",B435)),ISNUMBER(SEARCH("grec",B435)),ISNUMBER(SEARCH("byzantin",B435)),ISNUMBER(SEARCH("croate",B435)),ISNUMBER(SEARCH("ukrainien",B435)),ISNUMBER(SEARCH("bulgare",B435)),ISNUMBER(SEARCH("biélorusse",B435)),ISNUMBER(SEARCH("maltais",B435))),"Autres pays d'Europe",IF(OR(ISNUMBER(SEARCH("américain",B435)),ISNUMBER(SEARCH("mexicain",B435)),ISNUMBER(SEARCH("canadien",B435)),ISNUMBER(SEARCH("brésilien",B435)),ISNUMBER(SEARCH("argentin",B435))),"Amérique",IF(OR(ISNUMBER(SEARCH("chinois",B435)),ISNUMBER(SEARCH("japonais",B435)),ISNUMBER(SEARCH("coréen",B435)),ISNUMBER(SEARCH("indien",B435)),ISNUMBER(SEARCH("persan",B435)),ISNUMBER(SEARCH("iranien",B435))),"Asie","(non classée)"))))</f>
        <v/>
      </c>
    </row>
    <row r="436">
      <c r="A436" s="2" t="inlineStr">
        <is>
          <t>JOACHIM PATINIR</t>
        </is>
      </c>
      <c r="B436" s="2" t="inlineStr">
        <is>
          <t>flamande (Belgique)</t>
        </is>
      </c>
      <c r="C436" s="2" t="inlineStr">
        <is>
          <t>peinture</t>
        </is>
      </c>
      <c r="D436" s="2" t="inlineStr">
        <is>
          <t>16e</t>
        </is>
      </c>
      <c r="U436">
        <f>IF(ISNUMBER(SEARCH("fran",B436)),"France",IF(OR(ISNUMBER(SEARCH("italien",B436)),ISNUMBER(SEARCH("espagn",B436)),ISNUMBER(SEARCH("catalan",B436)),ISNUMBER(SEARCH("flamand",B436)),ISNUMBER(SEARCH("belge",B436)),ISNUMBER(SEARCH("hollandais",B436)),ISNUMBER(SEARCH("néerlandais",B436)),ISNUMBER(SEARCH("allemand",B436)),ISNUMBER(SEARCH("autrichien",B436)),ISNUMBER(SEARCH("suisse",B436)),ISNUMBER(SEARCH("anglais",B436)),ISNUMBER(SEARCH("britannique",B436)),ISNUMBER(SEARCH("écossais",B436)),ISNUMBER(SEARCH("irlandais",B436)),ISNUMBER(SEARCH("russe",B436)),ISNUMBER(SEARCH("portugais",B436)),ISNUMBER(SEARCH("danois",B436)),ISNUMBER(SEARCH("norvégien",B436)),ISNUMBER(SEARCH("suédois",B436)),ISNUMBER(SEARCH("finlandais",B436)),ISNUMBER(SEARCH("polonais",B436)),ISNUMBER(SEARCH("tchèque",B436)),ISNUMBER(SEARCH("hongrois",B436)),ISNUMBER(SEARCH("grec",B436)),ISNUMBER(SEARCH("byzantin",B436)),ISNUMBER(SEARCH("croate",B436)),ISNUMBER(SEARCH("ukrainien",B436)),ISNUMBER(SEARCH("bulgare",B436)),ISNUMBER(SEARCH("biélorusse",B436)),ISNUMBER(SEARCH("maltais",B436))),"Autres pays d'Europe",IF(OR(ISNUMBER(SEARCH("américain",B436)),ISNUMBER(SEARCH("mexicain",B436)),ISNUMBER(SEARCH("canadien",B436)),ISNUMBER(SEARCH("brésilien",B436)),ISNUMBER(SEARCH("argentin",B436))),"Amérique",IF(OR(ISNUMBER(SEARCH("chinois",B436)),ISNUMBER(SEARCH("japonais",B436)),ISNUMBER(SEARCH("coréen",B436)),ISNUMBER(SEARCH("indien",B436)),ISNUMBER(SEARCH("persan",B436)),ISNUMBER(SEARCH("iranien",B436))),"Asie","(non classée)"))))</f>
        <v/>
      </c>
    </row>
    <row r="437">
      <c r="A437" s="2" t="inlineStr">
        <is>
          <t>JOHAN JONGKIND</t>
        </is>
      </c>
      <c r="B437" s="2" t="inlineStr">
        <is>
          <t>hollandaise (Pays-Bas)</t>
        </is>
      </c>
      <c r="C437" s="2" t="inlineStr">
        <is>
          <t>peinture</t>
        </is>
      </c>
      <c r="D437" s="2" t="inlineStr">
        <is>
          <t>19e</t>
        </is>
      </c>
      <c r="U437">
        <f>IF(ISNUMBER(SEARCH("fran",B437)),"France",IF(OR(ISNUMBER(SEARCH("italien",B437)),ISNUMBER(SEARCH("espagn",B437)),ISNUMBER(SEARCH("catalan",B437)),ISNUMBER(SEARCH("flamand",B437)),ISNUMBER(SEARCH("belge",B437)),ISNUMBER(SEARCH("hollandais",B437)),ISNUMBER(SEARCH("néerlandais",B437)),ISNUMBER(SEARCH("allemand",B437)),ISNUMBER(SEARCH("autrichien",B437)),ISNUMBER(SEARCH("suisse",B437)),ISNUMBER(SEARCH("anglais",B437)),ISNUMBER(SEARCH("britannique",B437)),ISNUMBER(SEARCH("écossais",B437)),ISNUMBER(SEARCH("irlandais",B437)),ISNUMBER(SEARCH("russe",B437)),ISNUMBER(SEARCH("portugais",B437)),ISNUMBER(SEARCH("danois",B437)),ISNUMBER(SEARCH("norvégien",B437)),ISNUMBER(SEARCH("suédois",B437)),ISNUMBER(SEARCH("finlandais",B437)),ISNUMBER(SEARCH("polonais",B437)),ISNUMBER(SEARCH("tchèque",B437)),ISNUMBER(SEARCH("hongrois",B437)),ISNUMBER(SEARCH("grec",B437)),ISNUMBER(SEARCH("byzantin",B437)),ISNUMBER(SEARCH("croate",B437)),ISNUMBER(SEARCH("ukrainien",B437)),ISNUMBER(SEARCH("bulgare",B437)),ISNUMBER(SEARCH("biélorusse",B437)),ISNUMBER(SEARCH("maltais",B437))),"Autres pays d'Europe",IF(OR(ISNUMBER(SEARCH("américain",B437)),ISNUMBER(SEARCH("mexicain",B437)),ISNUMBER(SEARCH("canadien",B437)),ISNUMBER(SEARCH("brésilien",B437)),ISNUMBER(SEARCH("argentin",B437))),"Amérique",IF(OR(ISNUMBER(SEARCH("chinois",B437)),ISNUMBER(SEARCH("japonais",B437)),ISNUMBER(SEARCH("coréen",B437)),ISNUMBER(SEARCH("indien",B437)),ISNUMBER(SEARCH("persan",B437)),ISNUMBER(SEARCH("iranien",B437))),"Asie","(non classée)"))))</f>
        <v/>
      </c>
    </row>
    <row r="438">
      <c r="A438" s="2" t="inlineStr">
        <is>
          <t>JOHAN TOBIAS SERGEL</t>
        </is>
      </c>
      <c r="B438" s="2" t="inlineStr">
        <is>
          <t>suédoise</t>
        </is>
      </c>
      <c r="C438" s="2" t="inlineStr">
        <is>
          <t>sculpture</t>
        </is>
      </c>
      <c r="D438" s="2" t="inlineStr">
        <is>
          <t>18e</t>
        </is>
      </c>
      <c r="U438">
        <f>IF(ISNUMBER(SEARCH("fran",B438)),"France",IF(OR(ISNUMBER(SEARCH("italien",B438)),ISNUMBER(SEARCH("espagn",B438)),ISNUMBER(SEARCH("catalan",B438)),ISNUMBER(SEARCH("flamand",B438)),ISNUMBER(SEARCH("belge",B438)),ISNUMBER(SEARCH("hollandais",B438)),ISNUMBER(SEARCH("néerlandais",B438)),ISNUMBER(SEARCH("allemand",B438)),ISNUMBER(SEARCH("autrichien",B438)),ISNUMBER(SEARCH("suisse",B438)),ISNUMBER(SEARCH("anglais",B438)),ISNUMBER(SEARCH("britannique",B438)),ISNUMBER(SEARCH("écossais",B438)),ISNUMBER(SEARCH("irlandais",B438)),ISNUMBER(SEARCH("russe",B438)),ISNUMBER(SEARCH("portugais",B438)),ISNUMBER(SEARCH("danois",B438)),ISNUMBER(SEARCH("norvégien",B438)),ISNUMBER(SEARCH("suédois",B438)),ISNUMBER(SEARCH("finlandais",B438)),ISNUMBER(SEARCH("polonais",B438)),ISNUMBER(SEARCH("tchèque",B438)),ISNUMBER(SEARCH("hongrois",B438)),ISNUMBER(SEARCH("grec",B438)),ISNUMBER(SEARCH("byzantin",B438)),ISNUMBER(SEARCH("croate",B438)),ISNUMBER(SEARCH("ukrainien",B438)),ISNUMBER(SEARCH("bulgare",B438)),ISNUMBER(SEARCH("biélorusse",B438)),ISNUMBER(SEARCH("maltais",B438))),"Autres pays d'Europe",IF(OR(ISNUMBER(SEARCH("américain",B438)),ISNUMBER(SEARCH("mexicain",B438)),ISNUMBER(SEARCH("canadien",B438)),ISNUMBER(SEARCH("brésilien",B438)),ISNUMBER(SEARCH("argentin",B438))),"Amérique",IF(OR(ISNUMBER(SEARCH("chinois",B438)),ISNUMBER(SEARCH("japonais",B438)),ISNUMBER(SEARCH("coréen",B438)),ISNUMBER(SEARCH("indien",B438)),ISNUMBER(SEARCH("persan",B438)),ISNUMBER(SEARCH("iranien",B438))),"Asie","(non classée)"))))</f>
        <v/>
      </c>
    </row>
    <row r="439">
      <c r="A439" s="2" t="inlineStr">
        <is>
          <t>JOHANN AUGUSTE NAHL</t>
        </is>
      </c>
      <c r="B439" s="2" t="inlineStr">
        <is>
          <t>allemande</t>
        </is>
      </c>
      <c r="C439" s="2" t="inlineStr">
        <is>
          <t>sculpture</t>
        </is>
      </c>
      <c r="D439" s="2" t="inlineStr">
        <is>
          <t>18e</t>
        </is>
      </c>
      <c r="U439">
        <f>IF(ISNUMBER(SEARCH("fran",B439)),"France",IF(OR(ISNUMBER(SEARCH("italien",B439)),ISNUMBER(SEARCH("espagn",B439)),ISNUMBER(SEARCH("catalan",B439)),ISNUMBER(SEARCH("flamand",B439)),ISNUMBER(SEARCH("belge",B439)),ISNUMBER(SEARCH("hollandais",B439)),ISNUMBER(SEARCH("néerlandais",B439)),ISNUMBER(SEARCH("allemand",B439)),ISNUMBER(SEARCH("autrichien",B439)),ISNUMBER(SEARCH("suisse",B439)),ISNUMBER(SEARCH("anglais",B439)),ISNUMBER(SEARCH("britannique",B439)),ISNUMBER(SEARCH("écossais",B439)),ISNUMBER(SEARCH("irlandais",B439)),ISNUMBER(SEARCH("russe",B439)),ISNUMBER(SEARCH("portugais",B439)),ISNUMBER(SEARCH("danois",B439)),ISNUMBER(SEARCH("norvégien",B439)),ISNUMBER(SEARCH("suédois",B439)),ISNUMBER(SEARCH("finlandais",B439)),ISNUMBER(SEARCH("polonais",B439)),ISNUMBER(SEARCH("tchèque",B439)),ISNUMBER(SEARCH("hongrois",B439)),ISNUMBER(SEARCH("grec",B439)),ISNUMBER(SEARCH("byzantin",B439)),ISNUMBER(SEARCH("croate",B439)),ISNUMBER(SEARCH("ukrainien",B439)),ISNUMBER(SEARCH("bulgare",B439)),ISNUMBER(SEARCH("biélorusse",B439)),ISNUMBER(SEARCH("maltais",B439))),"Autres pays d'Europe",IF(OR(ISNUMBER(SEARCH("américain",B439)),ISNUMBER(SEARCH("mexicain",B439)),ISNUMBER(SEARCH("canadien",B439)),ISNUMBER(SEARCH("brésilien",B439)),ISNUMBER(SEARCH("argentin",B439))),"Amérique",IF(OR(ISNUMBER(SEARCH("chinois",B439)),ISNUMBER(SEARCH("japonais",B439)),ISNUMBER(SEARCH("coréen",B439)),ISNUMBER(SEARCH("indien",B439)),ISNUMBER(SEARCH("persan",B439)),ISNUMBER(SEARCH("iranien",B439))),"Asie","(non classée)"))))</f>
        <v/>
      </c>
    </row>
    <row r="440">
      <c r="A440" s="2" t="inlineStr">
        <is>
          <t>JOHANN BAPTIST STRAUB</t>
        </is>
      </c>
      <c r="B440" s="2" t="inlineStr">
        <is>
          <t>allemande</t>
        </is>
      </c>
      <c r="C440" s="2" t="inlineStr">
        <is>
          <t>sculpture</t>
        </is>
      </c>
      <c r="D440" s="2" t="inlineStr">
        <is>
          <t>18e</t>
        </is>
      </c>
      <c r="U440">
        <f>IF(ISNUMBER(SEARCH("fran",B440)),"France",IF(OR(ISNUMBER(SEARCH("italien",B440)),ISNUMBER(SEARCH("espagn",B440)),ISNUMBER(SEARCH("catalan",B440)),ISNUMBER(SEARCH("flamand",B440)),ISNUMBER(SEARCH("belge",B440)),ISNUMBER(SEARCH("hollandais",B440)),ISNUMBER(SEARCH("néerlandais",B440)),ISNUMBER(SEARCH("allemand",B440)),ISNUMBER(SEARCH("autrichien",B440)),ISNUMBER(SEARCH("suisse",B440)),ISNUMBER(SEARCH("anglais",B440)),ISNUMBER(SEARCH("britannique",B440)),ISNUMBER(SEARCH("écossais",B440)),ISNUMBER(SEARCH("irlandais",B440)),ISNUMBER(SEARCH("russe",B440)),ISNUMBER(SEARCH("portugais",B440)),ISNUMBER(SEARCH("danois",B440)),ISNUMBER(SEARCH("norvégien",B440)),ISNUMBER(SEARCH("suédois",B440)),ISNUMBER(SEARCH("finlandais",B440)),ISNUMBER(SEARCH("polonais",B440)),ISNUMBER(SEARCH("tchèque",B440)),ISNUMBER(SEARCH("hongrois",B440)),ISNUMBER(SEARCH("grec",B440)),ISNUMBER(SEARCH("byzantin",B440)),ISNUMBER(SEARCH("croate",B440)),ISNUMBER(SEARCH("ukrainien",B440)),ISNUMBER(SEARCH("bulgare",B440)),ISNUMBER(SEARCH("biélorusse",B440)),ISNUMBER(SEARCH("maltais",B440))),"Autres pays d'Europe",IF(OR(ISNUMBER(SEARCH("américain",B440)),ISNUMBER(SEARCH("mexicain",B440)),ISNUMBER(SEARCH("canadien",B440)),ISNUMBER(SEARCH("brésilien",B440)),ISNUMBER(SEARCH("argentin",B440))),"Amérique",IF(OR(ISNUMBER(SEARCH("chinois",B440)),ISNUMBER(SEARCH("japonais",B440)),ISNUMBER(SEARCH("coréen",B440)),ISNUMBER(SEARCH("indien",B440)),ISNUMBER(SEARCH("persan",B440)),ISNUMBER(SEARCH("iranien",B440))),"Asie","(non classée)"))))</f>
        <v/>
      </c>
    </row>
    <row r="441">
      <c r="A441" s="2" t="inlineStr">
        <is>
          <t>JOHANN GOTTFRIED SCHADOW</t>
        </is>
      </c>
      <c r="B441" s="2" t="inlineStr">
        <is>
          <t>allemande</t>
        </is>
      </c>
      <c r="C441" s="2" t="inlineStr">
        <is>
          <t>sculpture</t>
        </is>
      </c>
      <c r="D441" s="2" t="inlineStr">
        <is>
          <t>18e</t>
        </is>
      </c>
      <c r="U441">
        <f>IF(ISNUMBER(SEARCH("fran",B441)),"France",IF(OR(ISNUMBER(SEARCH("italien",B441)),ISNUMBER(SEARCH("espagn",B441)),ISNUMBER(SEARCH("catalan",B441)),ISNUMBER(SEARCH("flamand",B441)),ISNUMBER(SEARCH("belge",B441)),ISNUMBER(SEARCH("hollandais",B441)),ISNUMBER(SEARCH("néerlandais",B441)),ISNUMBER(SEARCH("allemand",B441)),ISNUMBER(SEARCH("autrichien",B441)),ISNUMBER(SEARCH("suisse",B441)),ISNUMBER(SEARCH("anglais",B441)),ISNUMBER(SEARCH("britannique",B441)),ISNUMBER(SEARCH("écossais",B441)),ISNUMBER(SEARCH("irlandais",B441)),ISNUMBER(SEARCH("russe",B441)),ISNUMBER(SEARCH("portugais",B441)),ISNUMBER(SEARCH("danois",B441)),ISNUMBER(SEARCH("norvégien",B441)),ISNUMBER(SEARCH("suédois",B441)),ISNUMBER(SEARCH("finlandais",B441)),ISNUMBER(SEARCH("polonais",B441)),ISNUMBER(SEARCH("tchèque",B441)),ISNUMBER(SEARCH("hongrois",B441)),ISNUMBER(SEARCH("grec",B441)),ISNUMBER(SEARCH("byzantin",B441)),ISNUMBER(SEARCH("croate",B441)),ISNUMBER(SEARCH("ukrainien",B441)),ISNUMBER(SEARCH("bulgare",B441)),ISNUMBER(SEARCH("biélorusse",B441)),ISNUMBER(SEARCH("maltais",B441))),"Autres pays d'Europe",IF(OR(ISNUMBER(SEARCH("américain",B441)),ISNUMBER(SEARCH("mexicain",B441)),ISNUMBER(SEARCH("canadien",B441)),ISNUMBER(SEARCH("brésilien",B441)),ISNUMBER(SEARCH("argentin",B441))),"Amérique",IF(OR(ISNUMBER(SEARCH("chinois",B441)),ISNUMBER(SEARCH("japonais",B441)),ISNUMBER(SEARCH("coréen",B441)),ISNUMBER(SEARCH("indien",B441)),ISNUMBER(SEARCH("persan",B441)),ISNUMBER(SEARCH("iranien",B441))),"Asie","(non classée)"))))</f>
        <v/>
      </c>
    </row>
    <row r="442">
      <c r="A442" s="2" t="inlineStr">
        <is>
          <t>JOHANN GOTTFRIED SCHADOW</t>
        </is>
      </c>
      <c r="B442" s="2" t="inlineStr">
        <is>
          <t>allemande</t>
        </is>
      </c>
      <c r="C442" s="2" t="inlineStr">
        <is>
          <t>sculpture</t>
        </is>
      </c>
      <c r="D442" s="2" t="inlineStr">
        <is>
          <t>19e</t>
        </is>
      </c>
      <c r="U442">
        <f>IF(ISNUMBER(SEARCH("fran",B442)),"France",IF(OR(ISNUMBER(SEARCH("italien",B442)),ISNUMBER(SEARCH("espagn",B442)),ISNUMBER(SEARCH("catalan",B442)),ISNUMBER(SEARCH("flamand",B442)),ISNUMBER(SEARCH("belge",B442)),ISNUMBER(SEARCH("hollandais",B442)),ISNUMBER(SEARCH("néerlandais",B442)),ISNUMBER(SEARCH("allemand",B442)),ISNUMBER(SEARCH("autrichien",B442)),ISNUMBER(SEARCH("suisse",B442)),ISNUMBER(SEARCH("anglais",B442)),ISNUMBER(SEARCH("britannique",B442)),ISNUMBER(SEARCH("écossais",B442)),ISNUMBER(SEARCH("irlandais",B442)),ISNUMBER(SEARCH("russe",B442)),ISNUMBER(SEARCH("portugais",B442)),ISNUMBER(SEARCH("danois",B442)),ISNUMBER(SEARCH("norvégien",B442)),ISNUMBER(SEARCH("suédois",B442)),ISNUMBER(SEARCH("finlandais",B442)),ISNUMBER(SEARCH("polonais",B442)),ISNUMBER(SEARCH("tchèque",B442)),ISNUMBER(SEARCH("hongrois",B442)),ISNUMBER(SEARCH("grec",B442)),ISNUMBER(SEARCH("byzantin",B442)),ISNUMBER(SEARCH("croate",B442)),ISNUMBER(SEARCH("ukrainien",B442)),ISNUMBER(SEARCH("bulgare",B442)),ISNUMBER(SEARCH("biélorusse",B442)),ISNUMBER(SEARCH("maltais",B442))),"Autres pays d'Europe",IF(OR(ISNUMBER(SEARCH("américain",B442)),ISNUMBER(SEARCH("mexicain",B442)),ISNUMBER(SEARCH("canadien",B442)),ISNUMBER(SEARCH("brésilien",B442)),ISNUMBER(SEARCH("argentin",B442))),"Amérique",IF(OR(ISNUMBER(SEARCH("chinois",B442)),ISNUMBER(SEARCH("japonais",B442)),ISNUMBER(SEARCH("coréen",B442)),ISNUMBER(SEARCH("indien",B442)),ISNUMBER(SEARCH("persan",B442)),ISNUMBER(SEARCH("iranien",B442))),"Asie","(non classée)"))))</f>
        <v/>
      </c>
    </row>
    <row r="443">
      <c r="A443" s="2" t="inlineStr">
        <is>
          <t>JOHANN JOACHIM KANDLER</t>
        </is>
      </c>
      <c r="B443" s="2" t="inlineStr">
        <is>
          <t>allemande</t>
        </is>
      </c>
      <c r="C443" s="2" t="inlineStr">
        <is>
          <t>sculpture</t>
        </is>
      </c>
      <c r="D443" s="2" t="inlineStr">
        <is>
          <t>18e</t>
        </is>
      </c>
      <c r="U443">
        <f>IF(ISNUMBER(SEARCH("fran",B443)),"France",IF(OR(ISNUMBER(SEARCH("italien",B443)),ISNUMBER(SEARCH("espagn",B443)),ISNUMBER(SEARCH("catalan",B443)),ISNUMBER(SEARCH("flamand",B443)),ISNUMBER(SEARCH("belge",B443)),ISNUMBER(SEARCH("hollandais",B443)),ISNUMBER(SEARCH("néerlandais",B443)),ISNUMBER(SEARCH("allemand",B443)),ISNUMBER(SEARCH("autrichien",B443)),ISNUMBER(SEARCH("suisse",B443)),ISNUMBER(SEARCH("anglais",B443)),ISNUMBER(SEARCH("britannique",B443)),ISNUMBER(SEARCH("écossais",B443)),ISNUMBER(SEARCH("irlandais",B443)),ISNUMBER(SEARCH("russe",B443)),ISNUMBER(SEARCH("portugais",B443)),ISNUMBER(SEARCH("danois",B443)),ISNUMBER(SEARCH("norvégien",B443)),ISNUMBER(SEARCH("suédois",B443)),ISNUMBER(SEARCH("finlandais",B443)),ISNUMBER(SEARCH("polonais",B443)),ISNUMBER(SEARCH("tchèque",B443)),ISNUMBER(SEARCH("hongrois",B443)),ISNUMBER(SEARCH("grec",B443)),ISNUMBER(SEARCH("byzantin",B443)),ISNUMBER(SEARCH("croate",B443)),ISNUMBER(SEARCH("ukrainien",B443)),ISNUMBER(SEARCH("bulgare",B443)),ISNUMBER(SEARCH("biélorusse",B443)),ISNUMBER(SEARCH("maltais",B443))),"Autres pays d'Europe",IF(OR(ISNUMBER(SEARCH("américain",B443)),ISNUMBER(SEARCH("mexicain",B443)),ISNUMBER(SEARCH("canadien",B443)),ISNUMBER(SEARCH("brésilien",B443)),ISNUMBER(SEARCH("argentin",B443))),"Amérique",IF(OR(ISNUMBER(SEARCH("chinois",B443)),ISNUMBER(SEARCH("japonais",B443)),ISNUMBER(SEARCH("coréen",B443)),ISNUMBER(SEARCH("indien",B443)),ISNUMBER(SEARCH("persan",B443)),ISNUMBER(SEARCH("iranien",B443))),"Asie","(non classée)"))))</f>
        <v/>
      </c>
    </row>
    <row r="444">
      <c r="A444" s="2" t="inlineStr">
        <is>
          <t>JOHANN ZOFFANY</t>
        </is>
      </c>
      <c r="B444" s="2" t="inlineStr">
        <is>
          <t>allemande</t>
        </is>
      </c>
      <c r="C444" s="2" t="inlineStr">
        <is>
          <t>peinture</t>
        </is>
      </c>
      <c r="D444" s="2" t="inlineStr">
        <is>
          <t>18e</t>
        </is>
      </c>
      <c r="U444">
        <f>IF(ISNUMBER(SEARCH("fran",B444)),"France",IF(OR(ISNUMBER(SEARCH("italien",B444)),ISNUMBER(SEARCH("espagn",B444)),ISNUMBER(SEARCH("catalan",B444)),ISNUMBER(SEARCH("flamand",B444)),ISNUMBER(SEARCH("belge",B444)),ISNUMBER(SEARCH("hollandais",B444)),ISNUMBER(SEARCH("néerlandais",B444)),ISNUMBER(SEARCH("allemand",B444)),ISNUMBER(SEARCH("autrichien",B444)),ISNUMBER(SEARCH("suisse",B444)),ISNUMBER(SEARCH("anglais",B444)),ISNUMBER(SEARCH("britannique",B444)),ISNUMBER(SEARCH("écossais",B444)),ISNUMBER(SEARCH("irlandais",B444)),ISNUMBER(SEARCH("russe",B444)),ISNUMBER(SEARCH("portugais",B444)),ISNUMBER(SEARCH("danois",B444)),ISNUMBER(SEARCH("norvégien",B444)),ISNUMBER(SEARCH("suédois",B444)),ISNUMBER(SEARCH("finlandais",B444)),ISNUMBER(SEARCH("polonais",B444)),ISNUMBER(SEARCH("tchèque",B444)),ISNUMBER(SEARCH("hongrois",B444)),ISNUMBER(SEARCH("grec",B444)),ISNUMBER(SEARCH("byzantin",B444)),ISNUMBER(SEARCH("croate",B444)),ISNUMBER(SEARCH("ukrainien",B444)),ISNUMBER(SEARCH("bulgare",B444)),ISNUMBER(SEARCH("biélorusse",B444)),ISNUMBER(SEARCH("maltais",B444))),"Autres pays d'Europe",IF(OR(ISNUMBER(SEARCH("américain",B444)),ISNUMBER(SEARCH("mexicain",B444)),ISNUMBER(SEARCH("canadien",B444)),ISNUMBER(SEARCH("brésilien",B444)),ISNUMBER(SEARCH("argentin",B444))),"Amérique",IF(OR(ISNUMBER(SEARCH("chinois",B444)),ISNUMBER(SEARCH("japonais",B444)),ISNUMBER(SEARCH("coréen",B444)),ISNUMBER(SEARCH("indien",B444)),ISNUMBER(SEARCH("persan",B444)),ISNUMBER(SEARCH("iranien",B444))),"Asie","(non classée)"))))</f>
        <v/>
      </c>
    </row>
    <row r="445">
      <c r="A445" s="2" t="inlineStr">
        <is>
          <t>JOHANNES VERMEER</t>
        </is>
      </c>
      <c r="B445" s="2" t="inlineStr">
        <is>
          <t>hollandaise (Pays-Bas)</t>
        </is>
      </c>
      <c r="C445" s="2" t="inlineStr">
        <is>
          <t>peinture</t>
        </is>
      </c>
      <c r="D445" s="2" t="inlineStr">
        <is>
          <t>17e</t>
        </is>
      </c>
      <c r="U445">
        <f>IF(ISNUMBER(SEARCH("fran",B445)),"France",IF(OR(ISNUMBER(SEARCH("italien",B445)),ISNUMBER(SEARCH("espagn",B445)),ISNUMBER(SEARCH("catalan",B445)),ISNUMBER(SEARCH("flamand",B445)),ISNUMBER(SEARCH("belge",B445)),ISNUMBER(SEARCH("hollandais",B445)),ISNUMBER(SEARCH("néerlandais",B445)),ISNUMBER(SEARCH("allemand",B445)),ISNUMBER(SEARCH("autrichien",B445)),ISNUMBER(SEARCH("suisse",B445)),ISNUMBER(SEARCH("anglais",B445)),ISNUMBER(SEARCH("britannique",B445)),ISNUMBER(SEARCH("écossais",B445)),ISNUMBER(SEARCH("irlandais",B445)),ISNUMBER(SEARCH("russe",B445)),ISNUMBER(SEARCH("portugais",B445)),ISNUMBER(SEARCH("danois",B445)),ISNUMBER(SEARCH("norvégien",B445)),ISNUMBER(SEARCH("suédois",B445)),ISNUMBER(SEARCH("finlandais",B445)),ISNUMBER(SEARCH("polonais",B445)),ISNUMBER(SEARCH("tchèque",B445)),ISNUMBER(SEARCH("hongrois",B445)),ISNUMBER(SEARCH("grec",B445)),ISNUMBER(SEARCH("byzantin",B445)),ISNUMBER(SEARCH("croate",B445)),ISNUMBER(SEARCH("ukrainien",B445)),ISNUMBER(SEARCH("bulgare",B445)),ISNUMBER(SEARCH("biélorusse",B445)),ISNUMBER(SEARCH("maltais",B445))),"Autres pays d'Europe",IF(OR(ISNUMBER(SEARCH("américain",B445)),ISNUMBER(SEARCH("mexicain",B445)),ISNUMBER(SEARCH("canadien",B445)),ISNUMBER(SEARCH("brésilien",B445)),ISNUMBER(SEARCH("argentin",B445))),"Amérique",IF(OR(ISNUMBER(SEARCH("chinois",B445)),ISNUMBER(SEARCH("japonais",B445)),ISNUMBER(SEARCH("coréen",B445)),ISNUMBER(SEARCH("indien",B445)),ISNUMBER(SEARCH("persan",B445)),ISNUMBER(SEARCH("iranien",B445))),"Asie","(non classée)"))))</f>
        <v/>
      </c>
    </row>
    <row r="446">
      <c r="A446" s="2" t="inlineStr">
        <is>
          <t>JOHN BUSHNELL</t>
        </is>
      </c>
      <c r="B446" s="2" t="inlineStr">
        <is>
          <t>anglaise (Royaume-Uni)</t>
        </is>
      </c>
      <c r="C446" s="2" t="inlineStr">
        <is>
          <t>sculpture</t>
        </is>
      </c>
      <c r="D446" s="2" t="inlineStr">
        <is>
          <t>17e</t>
        </is>
      </c>
      <c r="U446">
        <f>IF(ISNUMBER(SEARCH("fran",B446)),"France",IF(OR(ISNUMBER(SEARCH("italien",B446)),ISNUMBER(SEARCH("espagn",B446)),ISNUMBER(SEARCH("catalan",B446)),ISNUMBER(SEARCH("flamand",B446)),ISNUMBER(SEARCH("belge",B446)),ISNUMBER(SEARCH("hollandais",B446)),ISNUMBER(SEARCH("néerlandais",B446)),ISNUMBER(SEARCH("allemand",B446)),ISNUMBER(SEARCH("autrichien",B446)),ISNUMBER(SEARCH("suisse",B446)),ISNUMBER(SEARCH("anglais",B446)),ISNUMBER(SEARCH("britannique",B446)),ISNUMBER(SEARCH("écossais",B446)),ISNUMBER(SEARCH("irlandais",B446)),ISNUMBER(SEARCH("russe",B446)),ISNUMBER(SEARCH("portugais",B446)),ISNUMBER(SEARCH("danois",B446)),ISNUMBER(SEARCH("norvégien",B446)),ISNUMBER(SEARCH("suédois",B446)),ISNUMBER(SEARCH("finlandais",B446)),ISNUMBER(SEARCH("polonais",B446)),ISNUMBER(SEARCH("tchèque",B446)),ISNUMBER(SEARCH("hongrois",B446)),ISNUMBER(SEARCH("grec",B446)),ISNUMBER(SEARCH("byzantin",B446)),ISNUMBER(SEARCH("croate",B446)),ISNUMBER(SEARCH("ukrainien",B446)),ISNUMBER(SEARCH("bulgare",B446)),ISNUMBER(SEARCH("biélorusse",B446)),ISNUMBER(SEARCH("maltais",B446))),"Autres pays d'Europe",IF(OR(ISNUMBER(SEARCH("américain",B446)),ISNUMBER(SEARCH("mexicain",B446)),ISNUMBER(SEARCH("canadien",B446)),ISNUMBER(SEARCH("brésilien",B446)),ISNUMBER(SEARCH("argentin",B446))),"Amérique",IF(OR(ISNUMBER(SEARCH("chinois",B446)),ISNUMBER(SEARCH("japonais",B446)),ISNUMBER(SEARCH("coréen",B446)),ISNUMBER(SEARCH("indien",B446)),ISNUMBER(SEARCH("persan",B446)),ISNUMBER(SEARCH("iranien",B446))),"Asie","(non classée)"))))</f>
        <v/>
      </c>
    </row>
    <row r="447">
      <c r="A447" s="2" t="inlineStr">
        <is>
          <t>JOHN CONSTABLE</t>
        </is>
      </c>
      <c r="B447" s="2" t="inlineStr">
        <is>
          <t>anglaise (Royaume-Uni)</t>
        </is>
      </c>
      <c r="C447" s="2" t="inlineStr">
        <is>
          <t>peinture</t>
        </is>
      </c>
      <c r="D447" s="2" t="inlineStr">
        <is>
          <t>19e</t>
        </is>
      </c>
      <c r="U447">
        <f>IF(ISNUMBER(SEARCH("fran",B447)),"France",IF(OR(ISNUMBER(SEARCH("italien",B447)),ISNUMBER(SEARCH("espagn",B447)),ISNUMBER(SEARCH("catalan",B447)),ISNUMBER(SEARCH("flamand",B447)),ISNUMBER(SEARCH("belge",B447)),ISNUMBER(SEARCH("hollandais",B447)),ISNUMBER(SEARCH("néerlandais",B447)),ISNUMBER(SEARCH("allemand",B447)),ISNUMBER(SEARCH("autrichien",B447)),ISNUMBER(SEARCH("suisse",B447)),ISNUMBER(SEARCH("anglais",B447)),ISNUMBER(SEARCH("britannique",B447)),ISNUMBER(SEARCH("écossais",B447)),ISNUMBER(SEARCH("irlandais",B447)),ISNUMBER(SEARCH("russe",B447)),ISNUMBER(SEARCH("portugais",B447)),ISNUMBER(SEARCH("danois",B447)),ISNUMBER(SEARCH("norvégien",B447)),ISNUMBER(SEARCH("suédois",B447)),ISNUMBER(SEARCH("finlandais",B447)),ISNUMBER(SEARCH("polonais",B447)),ISNUMBER(SEARCH("tchèque",B447)),ISNUMBER(SEARCH("hongrois",B447)),ISNUMBER(SEARCH("grec",B447)),ISNUMBER(SEARCH("byzantin",B447)),ISNUMBER(SEARCH("croate",B447)),ISNUMBER(SEARCH("ukrainien",B447)),ISNUMBER(SEARCH("bulgare",B447)),ISNUMBER(SEARCH("biélorusse",B447)),ISNUMBER(SEARCH("maltais",B447))),"Autres pays d'Europe",IF(OR(ISNUMBER(SEARCH("américain",B447)),ISNUMBER(SEARCH("mexicain",B447)),ISNUMBER(SEARCH("canadien",B447)),ISNUMBER(SEARCH("brésilien",B447)),ISNUMBER(SEARCH("argentin",B447))),"Amérique",IF(OR(ISNUMBER(SEARCH("chinois",B447)),ISNUMBER(SEARCH("japonais",B447)),ISNUMBER(SEARCH("coréen",B447)),ISNUMBER(SEARCH("indien",B447)),ISNUMBER(SEARCH("persan",B447)),ISNUMBER(SEARCH("iranien",B447))),"Asie","(non classée)"))))</f>
        <v/>
      </c>
    </row>
    <row r="448">
      <c r="A448" s="2" t="inlineStr">
        <is>
          <t>JOHN EVERETT MILLAIS</t>
        </is>
      </c>
      <c r="B448" s="2" t="inlineStr">
        <is>
          <t>anglaise (Royaume-Uni)</t>
        </is>
      </c>
      <c r="C448" s="2" t="inlineStr">
        <is>
          <t>peinture</t>
        </is>
      </c>
      <c r="D448" s="2" t="inlineStr">
        <is>
          <t>19e</t>
        </is>
      </c>
      <c r="U448">
        <f>IF(ISNUMBER(SEARCH("fran",B448)),"France",IF(OR(ISNUMBER(SEARCH("italien",B448)),ISNUMBER(SEARCH("espagn",B448)),ISNUMBER(SEARCH("catalan",B448)),ISNUMBER(SEARCH("flamand",B448)),ISNUMBER(SEARCH("belge",B448)),ISNUMBER(SEARCH("hollandais",B448)),ISNUMBER(SEARCH("néerlandais",B448)),ISNUMBER(SEARCH("allemand",B448)),ISNUMBER(SEARCH("autrichien",B448)),ISNUMBER(SEARCH("suisse",B448)),ISNUMBER(SEARCH("anglais",B448)),ISNUMBER(SEARCH("britannique",B448)),ISNUMBER(SEARCH("écossais",B448)),ISNUMBER(SEARCH("irlandais",B448)),ISNUMBER(SEARCH("russe",B448)),ISNUMBER(SEARCH("portugais",B448)),ISNUMBER(SEARCH("danois",B448)),ISNUMBER(SEARCH("norvégien",B448)),ISNUMBER(SEARCH("suédois",B448)),ISNUMBER(SEARCH("finlandais",B448)),ISNUMBER(SEARCH("polonais",B448)),ISNUMBER(SEARCH("tchèque",B448)),ISNUMBER(SEARCH("hongrois",B448)),ISNUMBER(SEARCH("grec",B448)),ISNUMBER(SEARCH("byzantin",B448)),ISNUMBER(SEARCH("croate",B448)),ISNUMBER(SEARCH("ukrainien",B448)),ISNUMBER(SEARCH("bulgare",B448)),ISNUMBER(SEARCH("biélorusse",B448)),ISNUMBER(SEARCH("maltais",B448))),"Autres pays d'Europe",IF(OR(ISNUMBER(SEARCH("américain",B448)),ISNUMBER(SEARCH("mexicain",B448)),ISNUMBER(SEARCH("canadien",B448)),ISNUMBER(SEARCH("brésilien",B448)),ISNUMBER(SEARCH("argentin",B448))),"Amérique",IF(OR(ISNUMBER(SEARCH("chinois",B448)),ISNUMBER(SEARCH("japonais",B448)),ISNUMBER(SEARCH("coréen",B448)),ISNUMBER(SEARCH("indien",B448)),ISNUMBER(SEARCH("persan",B448)),ISNUMBER(SEARCH("iranien",B448))),"Asie","(non classée)"))))</f>
        <v/>
      </c>
    </row>
    <row r="449">
      <c r="A449" s="2" t="inlineStr">
        <is>
          <t>JOHN FLAXMAN</t>
        </is>
      </c>
      <c r="B449" s="2" t="inlineStr">
        <is>
          <t>anglaise (Royaume-Uni)</t>
        </is>
      </c>
      <c r="C449" s="2" t="inlineStr">
        <is>
          <t>sculpture</t>
        </is>
      </c>
      <c r="D449" s="2" t="inlineStr">
        <is>
          <t>18e</t>
        </is>
      </c>
      <c r="U449">
        <f>IF(ISNUMBER(SEARCH("fran",B449)),"France",IF(OR(ISNUMBER(SEARCH("italien",B449)),ISNUMBER(SEARCH("espagn",B449)),ISNUMBER(SEARCH("catalan",B449)),ISNUMBER(SEARCH("flamand",B449)),ISNUMBER(SEARCH("belge",B449)),ISNUMBER(SEARCH("hollandais",B449)),ISNUMBER(SEARCH("néerlandais",B449)),ISNUMBER(SEARCH("allemand",B449)),ISNUMBER(SEARCH("autrichien",B449)),ISNUMBER(SEARCH("suisse",B449)),ISNUMBER(SEARCH("anglais",B449)),ISNUMBER(SEARCH("britannique",B449)),ISNUMBER(SEARCH("écossais",B449)),ISNUMBER(SEARCH("irlandais",B449)),ISNUMBER(SEARCH("russe",B449)),ISNUMBER(SEARCH("portugais",B449)),ISNUMBER(SEARCH("danois",B449)),ISNUMBER(SEARCH("norvégien",B449)),ISNUMBER(SEARCH("suédois",B449)),ISNUMBER(SEARCH("finlandais",B449)),ISNUMBER(SEARCH("polonais",B449)),ISNUMBER(SEARCH("tchèque",B449)),ISNUMBER(SEARCH("hongrois",B449)),ISNUMBER(SEARCH("grec",B449)),ISNUMBER(SEARCH("byzantin",B449)),ISNUMBER(SEARCH("croate",B449)),ISNUMBER(SEARCH("ukrainien",B449)),ISNUMBER(SEARCH("bulgare",B449)),ISNUMBER(SEARCH("biélorusse",B449)),ISNUMBER(SEARCH("maltais",B449))),"Autres pays d'Europe",IF(OR(ISNUMBER(SEARCH("américain",B449)),ISNUMBER(SEARCH("mexicain",B449)),ISNUMBER(SEARCH("canadien",B449)),ISNUMBER(SEARCH("brésilien",B449)),ISNUMBER(SEARCH("argentin",B449))),"Amérique",IF(OR(ISNUMBER(SEARCH("chinois",B449)),ISNUMBER(SEARCH("japonais",B449)),ISNUMBER(SEARCH("coréen",B449)),ISNUMBER(SEARCH("indien",B449)),ISNUMBER(SEARCH("persan",B449)),ISNUMBER(SEARCH("iranien",B449))),"Asie","(non classée)"))))</f>
        <v/>
      </c>
    </row>
    <row r="450">
      <c r="A450" s="2" t="inlineStr">
        <is>
          <t>JOHN GIBSON</t>
        </is>
      </c>
      <c r="B450" s="2" t="inlineStr">
        <is>
          <t>anglaise (Royaume-Uni)</t>
        </is>
      </c>
      <c r="C450" s="2" t="inlineStr">
        <is>
          <t>sculpture</t>
        </is>
      </c>
      <c r="D450" s="2" t="inlineStr">
        <is>
          <t>19e</t>
        </is>
      </c>
      <c r="U450">
        <f>IF(ISNUMBER(SEARCH("fran",B450)),"France",IF(OR(ISNUMBER(SEARCH("italien",B450)),ISNUMBER(SEARCH("espagn",B450)),ISNUMBER(SEARCH("catalan",B450)),ISNUMBER(SEARCH("flamand",B450)),ISNUMBER(SEARCH("belge",B450)),ISNUMBER(SEARCH("hollandais",B450)),ISNUMBER(SEARCH("néerlandais",B450)),ISNUMBER(SEARCH("allemand",B450)),ISNUMBER(SEARCH("autrichien",B450)),ISNUMBER(SEARCH("suisse",B450)),ISNUMBER(SEARCH("anglais",B450)),ISNUMBER(SEARCH("britannique",B450)),ISNUMBER(SEARCH("écossais",B450)),ISNUMBER(SEARCH("irlandais",B450)),ISNUMBER(SEARCH("russe",B450)),ISNUMBER(SEARCH("portugais",B450)),ISNUMBER(SEARCH("danois",B450)),ISNUMBER(SEARCH("norvégien",B450)),ISNUMBER(SEARCH("suédois",B450)),ISNUMBER(SEARCH("finlandais",B450)),ISNUMBER(SEARCH("polonais",B450)),ISNUMBER(SEARCH("tchèque",B450)),ISNUMBER(SEARCH("hongrois",B450)),ISNUMBER(SEARCH("grec",B450)),ISNUMBER(SEARCH("byzantin",B450)),ISNUMBER(SEARCH("croate",B450)),ISNUMBER(SEARCH("ukrainien",B450)),ISNUMBER(SEARCH("bulgare",B450)),ISNUMBER(SEARCH("biélorusse",B450)),ISNUMBER(SEARCH("maltais",B450))),"Autres pays d'Europe",IF(OR(ISNUMBER(SEARCH("américain",B450)),ISNUMBER(SEARCH("mexicain",B450)),ISNUMBER(SEARCH("canadien",B450)),ISNUMBER(SEARCH("brésilien",B450)),ISNUMBER(SEARCH("argentin",B450))),"Amérique",IF(OR(ISNUMBER(SEARCH("chinois",B450)),ISNUMBER(SEARCH("japonais",B450)),ISNUMBER(SEARCH("coréen",B450)),ISNUMBER(SEARCH("indien",B450)),ISNUMBER(SEARCH("persan",B450)),ISNUMBER(SEARCH("iranien",B450))),"Asie","(non classée)"))))</f>
        <v/>
      </c>
    </row>
    <row r="451">
      <c r="A451" s="2" t="inlineStr">
        <is>
          <t>JOHN MICHAEL RYSBRACK</t>
        </is>
      </c>
      <c r="B451" s="2" t="inlineStr">
        <is>
          <t>flamande (Belgique)</t>
        </is>
      </c>
      <c r="C451" s="2" t="inlineStr">
        <is>
          <t>sculpture</t>
        </is>
      </c>
      <c r="D451" s="2" t="inlineStr">
        <is>
          <t>18e</t>
        </is>
      </c>
      <c r="U451">
        <f>IF(ISNUMBER(SEARCH("fran",B451)),"France",IF(OR(ISNUMBER(SEARCH("italien",B451)),ISNUMBER(SEARCH("espagn",B451)),ISNUMBER(SEARCH("catalan",B451)),ISNUMBER(SEARCH("flamand",B451)),ISNUMBER(SEARCH("belge",B451)),ISNUMBER(SEARCH("hollandais",B451)),ISNUMBER(SEARCH("néerlandais",B451)),ISNUMBER(SEARCH("allemand",B451)),ISNUMBER(SEARCH("autrichien",B451)),ISNUMBER(SEARCH("suisse",B451)),ISNUMBER(SEARCH("anglais",B451)),ISNUMBER(SEARCH("britannique",B451)),ISNUMBER(SEARCH("écossais",B451)),ISNUMBER(SEARCH("irlandais",B451)),ISNUMBER(SEARCH("russe",B451)),ISNUMBER(SEARCH("portugais",B451)),ISNUMBER(SEARCH("danois",B451)),ISNUMBER(SEARCH("norvégien",B451)),ISNUMBER(SEARCH("suédois",B451)),ISNUMBER(SEARCH("finlandais",B451)),ISNUMBER(SEARCH("polonais",B451)),ISNUMBER(SEARCH("tchèque",B451)),ISNUMBER(SEARCH("hongrois",B451)),ISNUMBER(SEARCH("grec",B451)),ISNUMBER(SEARCH("byzantin",B451)),ISNUMBER(SEARCH("croate",B451)),ISNUMBER(SEARCH("ukrainien",B451)),ISNUMBER(SEARCH("bulgare",B451)),ISNUMBER(SEARCH("biélorusse",B451)),ISNUMBER(SEARCH("maltais",B451))),"Autres pays d'Europe",IF(OR(ISNUMBER(SEARCH("américain",B451)),ISNUMBER(SEARCH("mexicain",B451)),ISNUMBER(SEARCH("canadien",B451)),ISNUMBER(SEARCH("brésilien",B451)),ISNUMBER(SEARCH("argentin",B451))),"Amérique",IF(OR(ISNUMBER(SEARCH("chinois",B451)),ISNUMBER(SEARCH("japonais",B451)),ISNUMBER(SEARCH("coréen",B451)),ISNUMBER(SEARCH("indien",B451)),ISNUMBER(SEARCH("persan",B451)),ISNUMBER(SEARCH("iranien",B451))),"Asie","(non classée)"))))</f>
        <v/>
      </c>
    </row>
    <row r="452">
      <c r="A452" s="2" t="inlineStr">
        <is>
          <t>JOHN SINGER SARGENT</t>
        </is>
      </c>
      <c r="B452" s="2" t="inlineStr">
        <is>
          <t>américaine</t>
        </is>
      </c>
      <c r="C452" s="2" t="inlineStr">
        <is>
          <t>peinture</t>
        </is>
      </c>
      <c r="D452" s="2" t="inlineStr">
        <is>
          <t>19e</t>
        </is>
      </c>
      <c r="U452">
        <f>IF(ISNUMBER(SEARCH("fran",B452)),"France",IF(OR(ISNUMBER(SEARCH("italien",B452)),ISNUMBER(SEARCH("espagn",B452)),ISNUMBER(SEARCH("catalan",B452)),ISNUMBER(SEARCH("flamand",B452)),ISNUMBER(SEARCH("belge",B452)),ISNUMBER(SEARCH("hollandais",B452)),ISNUMBER(SEARCH("néerlandais",B452)),ISNUMBER(SEARCH("allemand",B452)),ISNUMBER(SEARCH("autrichien",B452)),ISNUMBER(SEARCH("suisse",B452)),ISNUMBER(SEARCH("anglais",B452)),ISNUMBER(SEARCH("britannique",B452)),ISNUMBER(SEARCH("écossais",B452)),ISNUMBER(SEARCH("irlandais",B452)),ISNUMBER(SEARCH("russe",B452)),ISNUMBER(SEARCH("portugais",B452)),ISNUMBER(SEARCH("danois",B452)),ISNUMBER(SEARCH("norvégien",B452)),ISNUMBER(SEARCH("suédois",B452)),ISNUMBER(SEARCH("finlandais",B452)),ISNUMBER(SEARCH("polonais",B452)),ISNUMBER(SEARCH("tchèque",B452)),ISNUMBER(SEARCH("hongrois",B452)),ISNUMBER(SEARCH("grec",B452)),ISNUMBER(SEARCH("byzantin",B452)),ISNUMBER(SEARCH("croate",B452)),ISNUMBER(SEARCH("ukrainien",B452)),ISNUMBER(SEARCH("bulgare",B452)),ISNUMBER(SEARCH("biélorusse",B452)),ISNUMBER(SEARCH("maltais",B452))),"Autres pays d'Europe",IF(OR(ISNUMBER(SEARCH("américain",B452)),ISNUMBER(SEARCH("mexicain",B452)),ISNUMBER(SEARCH("canadien",B452)),ISNUMBER(SEARCH("brésilien",B452)),ISNUMBER(SEARCH("argentin",B452))),"Amérique",IF(OR(ISNUMBER(SEARCH("chinois",B452)),ISNUMBER(SEARCH("japonais",B452)),ISNUMBER(SEARCH("coréen",B452)),ISNUMBER(SEARCH("indien",B452)),ISNUMBER(SEARCH("persan",B452)),ISNUMBER(SEARCH("iranien",B452))),"Asie","(non classée)"))))</f>
        <v/>
      </c>
    </row>
    <row r="453">
      <c r="A453" s="2" t="inlineStr">
        <is>
          <t>JOHN SINGLETON COPLEY</t>
        </is>
      </c>
      <c r="B453" s="2" t="inlineStr">
        <is>
          <t>américaine</t>
        </is>
      </c>
      <c r="C453" s="2" t="inlineStr">
        <is>
          <t>peinture</t>
        </is>
      </c>
      <c r="D453" s="2" t="inlineStr">
        <is>
          <t>18e</t>
        </is>
      </c>
      <c r="U453">
        <f>IF(ISNUMBER(SEARCH("fran",B453)),"France",IF(OR(ISNUMBER(SEARCH("italien",B453)),ISNUMBER(SEARCH("espagn",B453)),ISNUMBER(SEARCH("catalan",B453)),ISNUMBER(SEARCH("flamand",B453)),ISNUMBER(SEARCH("belge",B453)),ISNUMBER(SEARCH("hollandais",B453)),ISNUMBER(SEARCH("néerlandais",B453)),ISNUMBER(SEARCH("allemand",B453)),ISNUMBER(SEARCH("autrichien",B453)),ISNUMBER(SEARCH("suisse",B453)),ISNUMBER(SEARCH("anglais",B453)),ISNUMBER(SEARCH("britannique",B453)),ISNUMBER(SEARCH("écossais",B453)),ISNUMBER(SEARCH("irlandais",B453)),ISNUMBER(SEARCH("russe",B453)),ISNUMBER(SEARCH("portugais",B453)),ISNUMBER(SEARCH("danois",B453)),ISNUMBER(SEARCH("norvégien",B453)),ISNUMBER(SEARCH("suédois",B453)),ISNUMBER(SEARCH("finlandais",B453)),ISNUMBER(SEARCH("polonais",B453)),ISNUMBER(SEARCH("tchèque",B453)),ISNUMBER(SEARCH("hongrois",B453)),ISNUMBER(SEARCH("grec",B453)),ISNUMBER(SEARCH("byzantin",B453)),ISNUMBER(SEARCH("croate",B453)),ISNUMBER(SEARCH("ukrainien",B453)),ISNUMBER(SEARCH("bulgare",B453)),ISNUMBER(SEARCH("biélorusse",B453)),ISNUMBER(SEARCH("maltais",B453))),"Autres pays d'Europe",IF(OR(ISNUMBER(SEARCH("américain",B453)),ISNUMBER(SEARCH("mexicain",B453)),ISNUMBER(SEARCH("canadien",B453)),ISNUMBER(SEARCH("brésilien",B453)),ISNUMBER(SEARCH("argentin",B453))),"Amérique",IF(OR(ISNUMBER(SEARCH("chinois",B453)),ISNUMBER(SEARCH("japonais",B453)),ISNUMBER(SEARCH("coréen",B453)),ISNUMBER(SEARCH("indien",B453)),ISNUMBER(SEARCH("persan",B453)),ISNUMBER(SEARCH("iranien",B453))),"Asie","(non classée)"))))</f>
        <v/>
      </c>
    </row>
    <row r="454">
      <c r="A454" s="2" t="inlineStr">
        <is>
          <t>JOHN WILLIAM WATERHOUSE</t>
        </is>
      </c>
      <c r="B454" s="2" t="inlineStr">
        <is>
          <t>anglaise (Royaume-Uni)</t>
        </is>
      </c>
      <c r="C454" s="2" t="inlineStr">
        <is>
          <t>peinture</t>
        </is>
      </c>
      <c r="D454" s="2" t="inlineStr">
        <is>
          <t>19e</t>
        </is>
      </c>
      <c r="U454">
        <f>IF(ISNUMBER(SEARCH("fran",B454)),"France",IF(OR(ISNUMBER(SEARCH("italien",B454)),ISNUMBER(SEARCH("espagn",B454)),ISNUMBER(SEARCH("catalan",B454)),ISNUMBER(SEARCH("flamand",B454)),ISNUMBER(SEARCH("belge",B454)),ISNUMBER(SEARCH("hollandais",B454)),ISNUMBER(SEARCH("néerlandais",B454)),ISNUMBER(SEARCH("allemand",B454)),ISNUMBER(SEARCH("autrichien",B454)),ISNUMBER(SEARCH("suisse",B454)),ISNUMBER(SEARCH("anglais",B454)),ISNUMBER(SEARCH("britannique",B454)),ISNUMBER(SEARCH("écossais",B454)),ISNUMBER(SEARCH("irlandais",B454)),ISNUMBER(SEARCH("russe",B454)),ISNUMBER(SEARCH("portugais",B454)),ISNUMBER(SEARCH("danois",B454)),ISNUMBER(SEARCH("norvégien",B454)),ISNUMBER(SEARCH("suédois",B454)),ISNUMBER(SEARCH("finlandais",B454)),ISNUMBER(SEARCH("polonais",B454)),ISNUMBER(SEARCH("tchèque",B454)),ISNUMBER(SEARCH("hongrois",B454)),ISNUMBER(SEARCH("grec",B454)),ISNUMBER(SEARCH("byzantin",B454)),ISNUMBER(SEARCH("croate",B454)),ISNUMBER(SEARCH("ukrainien",B454)),ISNUMBER(SEARCH("bulgare",B454)),ISNUMBER(SEARCH("biélorusse",B454)),ISNUMBER(SEARCH("maltais",B454))),"Autres pays d'Europe",IF(OR(ISNUMBER(SEARCH("américain",B454)),ISNUMBER(SEARCH("mexicain",B454)),ISNUMBER(SEARCH("canadien",B454)),ISNUMBER(SEARCH("brésilien",B454)),ISNUMBER(SEARCH("argentin",B454))),"Amérique",IF(OR(ISNUMBER(SEARCH("chinois",B454)),ISNUMBER(SEARCH("japonais",B454)),ISNUMBER(SEARCH("coréen",B454)),ISNUMBER(SEARCH("indien",B454)),ISNUMBER(SEARCH("persan",B454)),ISNUMBER(SEARCH("iranien",B454))),"Asie","(non classée)"))))</f>
        <v/>
      </c>
    </row>
    <row r="455">
      <c r="A455" s="2" t="inlineStr">
        <is>
          <t>JOSEF VÁCLAV MYSLBEK</t>
        </is>
      </c>
      <c r="B455" s="2" t="inlineStr">
        <is>
          <t>tchèque</t>
        </is>
      </c>
      <c r="C455" s="2" t="inlineStr">
        <is>
          <t>sculpture</t>
        </is>
      </c>
      <c r="D455" s="2" t="inlineStr">
        <is>
          <t>19e</t>
        </is>
      </c>
      <c r="U455">
        <f>IF(ISNUMBER(SEARCH("fran",B455)),"France",IF(OR(ISNUMBER(SEARCH("italien",B455)),ISNUMBER(SEARCH("espagn",B455)),ISNUMBER(SEARCH("catalan",B455)),ISNUMBER(SEARCH("flamand",B455)),ISNUMBER(SEARCH("belge",B455)),ISNUMBER(SEARCH("hollandais",B455)),ISNUMBER(SEARCH("néerlandais",B455)),ISNUMBER(SEARCH("allemand",B455)),ISNUMBER(SEARCH("autrichien",B455)),ISNUMBER(SEARCH("suisse",B455)),ISNUMBER(SEARCH("anglais",B455)),ISNUMBER(SEARCH("britannique",B455)),ISNUMBER(SEARCH("écossais",B455)),ISNUMBER(SEARCH("irlandais",B455)),ISNUMBER(SEARCH("russe",B455)),ISNUMBER(SEARCH("portugais",B455)),ISNUMBER(SEARCH("danois",B455)),ISNUMBER(SEARCH("norvégien",B455)),ISNUMBER(SEARCH("suédois",B455)),ISNUMBER(SEARCH("finlandais",B455)),ISNUMBER(SEARCH("polonais",B455)),ISNUMBER(SEARCH("tchèque",B455)),ISNUMBER(SEARCH("hongrois",B455)),ISNUMBER(SEARCH("grec",B455)),ISNUMBER(SEARCH("byzantin",B455)),ISNUMBER(SEARCH("croate",B455)),ISNUMBER(SEARCH("ukrainien",B455)),ISNUMBER(SEARCH("bulgare",B455)),ISNUMBER(SEARCH("biélorusse",B455)),ISNUMBER(SEARCH("maltais",B455))),"Autres pays d'Europe",IF(OR(ISNUMBER(SEARCH("américain",B455)),ISNUMBER(SEARCH("mexicain",B455)),ISNUMBER(SEARCH("canadien",B455)),ISNUMBER(SEARCH("brésilien",B455)),ISNUMBER(SEARCH("argentin",B455))),"Amérique",IF(OR(ISNUMBER(SEARCH("chinois",B455)),ISNUMBER(SEARCH("japonais",B455)),ISNUMBER(SEARCH("coréen",B455)),ISNUMBER(SEARCH("indien",B455)),ISNUMBER(SEARCH("persan",B455)),ISNUMBER(SEARCH("iranien",B455))),"Asie","(non classée)"))))</f>
        <v/>
      </c>
    </row>
    <row r="456">
      <c r="A456" s="2" t="inlineStr">
        <is>
          <t>JOSEPH ANTON FEUCHTMAYER</t>
        </is>
      </c>
      <c r="B456" s="2" t="inlineStr">
        <is>
          <t>allemande</t>
        </is>
      </c>
      <c r="C456" s="2" t="inlineStr">
        <is>
          <t>sculpture</t>
        </is>
      </c>
      <c r="D456" s="2" t="inlineStr">
        <is>
          <t>18e</t>
        </is>
      </c>
      <c r="U456">
        <f>IF(ISNUMBER(SEARCH("fran",B456)),"France",IF(OR(ISNUMBER(SEARCH("italien",B456)),ISNUMBER(SEARCH("espagn",B456)),ISNUMBER(SEARCH("catalan",B456)),ISNUMBER(SEARCH("flamand",B456)),ISNUMBER(SEARCH("belge",B456)),ISNUMBER(SEARCH("hollandais",B456)),ISNUMBER(SEARCH("néerlandais",B456)),ISNUMBER(SEARCH("allemand",B456)),ISNUMBER(SEARCH("autrichien",B456)),ISNUMBER(SEARCH("suisse",B456)),ISNUMBER(SEARCH("anglais",B456)),ISNUMBER(SEARCH("britannique",B456)),ISNUMBER(SEARCH("écossais",B456)),ISNUMBER(SEARCH("irlandais",B456)),ISNUMBER(SEARCH("russe",B456)),ISNUMBER(SEARCH("portugais",B456)),ISNUMBER(SEARCH("danois",B456)),ISNUMBER(SEARCH("norvégien",B456)),ISNUMBER(SEARCH("suédois",B456)),ISNUMBER(SEARCH("finlandais",B456)),ISNUMBER(SEARCH("polonais",B456)),ISNUMBER(SEARCH("tchèque",B456)),ISNUMBER(SEARCH("hongrois",B456)),ISNUMBER(SEARCH("grec",B456)),ISNUMBER(SEARCH("byzantin",B456)),ISNUMBER(SEARCH("croate",B456)),ISNUMBER(SEARCH("ukrainien",B456)),ISNUMBER(SEARCH("bulgare",B456)),ISNUMBER(SEARCH("biélorusse",B456)),ISNUMBER(SEARCH("maltais",B456))),"Autres pays d'Europe",IF(OR(ISNUMBER(SEARCH("américain",B456)),ISNUMBER(SEARCH("mexicain",B456)),ISNUMBER(SEARCH("canadien",B456)),ISNUMBER(SEARCH("brésilien",B456)),ISNUMBER(SEARCH("argentin",B456))),"Amérique",IF(OR(ISNUMBER(SEARCH("chinois",B456)),ISNUMBER(SEARCH("japonais",B456)),ISNUMBER(SEARCH("coréen",B456)),ISNUMBER(SEARCH("indien",B456)),ISNUMBER(SEARCH("persan",B456)),ISNUMBER(SEARCH("iranien",B456))),"Asie","(non classée)"))))</f>
        <v/>
      </c>
    </row>
    <row r="457">
      <c r="A457" s="2" t="inlineStr">
        <is>
          <t>JOSEPH BERNARD</t>
        </is>
      </c>
      <c r="B457" s="2" t="inlineStr">
        <is>
          <t>française</t>
        </is>
      </c>
      <c r="C457" s="2" t="inlineStr">
        <is>
          <t>sculpture</t>
        </is>
      </c>
      <c r="D457" s="2" t="inlineStr">
        <is>
          <t>20e</t>
        </is>
      </c>
      <c r="U457">
        <f>IF(ISNUMBER(SEARCH("fran",B457)),"France",IF(OR(ISNUMBER(SEARCH("italien",B457)),ISNUMBER(SEARCH("espagn",B457)),ISNUMBER(SEARCH("catalan",B457)),ISNUMBER(SEARCH("flamand",B457)),ISNUMBER(SEARCH("belge",B457)),ISNUMBER(SEARCH("hollandais",B457)),ISNUMBER(SEARCH("néerlandais",B457)),ISNUMBER(SEARCH("allemand",B457)),ISNUMBER(SEARCH("autrichien",B457)),ISNUMBER(SEARCH("suisse",B457)),ISNUMBER(SEARCH("anglais",B457)),ISNUMBER(SEARCH("britannique",B457)),ISNUMBER(SEARCH("écossais",B457)),ISNUMBER(SEARCH("irlandais",B457)),ISNUMBER(SEARCH("russe",B457)),ISNUMBER(SEARCH("portugais",B457)),ISNUMBER(SEARCH("danois",B457)),ISNUMBER(SEARCH("norvégien",B457)),ISNUMBER(SEARCH("suédois",B457)),ISNUMBER(SEARCH("finlandais",B457)),ISNUMBER(SEARCH("polonais",B457)),ISNUMBER(SEARCH("tchèque",B457)),ISNUMBER(SEARCH("hongrois",B457)),ISNUMBER(SEARCH("grec",B457)),ISNUMBER(SEARCH("byzantin",B457)),ISNUMBER(SEARCH("croate",B457)),ISNUMBER(SEARCH("ukrainien",B457)),ISNUMBER(SEARCH("bulgare",B457)),ISNUMBER(SEARCH("biélorusse",B457)),ISNUMBER(SEARCH("maltais",B457))),"Autres pays d'Europe",IF(OR(ISNUMBER(SEARCH("américain",B457)),ISNUMBER(SEARCH("mexicain",B457)),ISNUMBER(SEARCH("canadien",B457)),ISNUMBER(SEARCH("brésilien",B457)),ISNUMBER(SEARCH("argentin",B457))),"Amérique",IF(OR(ISNUMBER(SEARCH("chinois",B457)),ISNUMBER(SEARCH("japonais",B457)),ISNUMBER(SEARCH("coréen",B457)),ISNUMBER(SEARCH("indien",B457)),ISNUMBER(SEARCH("persan",B457)),ISNUMBER(SEARCH("iranien",B457))),"Asie","(non classée)"))))</f>
        <v/>
      </c>
    </row>
    <row r="458">
      <c r="A458" s="2" t="inlineStr">
        <is>
          <t>JOSEPH CHINARD</t>
        </is>
      </c>
      <c r="B458" s="2" t="inlineStr">
        <is>
          <t>française</t>
        </is>
      </c>
      <c r="C458" s="2" t="inlineStr">
        <is>
          <t>sculpture</t>
        </is>
      </c>
      <c r="D458" s="2" t="inlineStr">
        <is>
          <t>18e</t>
        </is>
      </c>
      <c r="U458">
        <f>IF(ISNUMBER(SEARCH("fran",B458)),"France",IF(OR(ISNUMBER(SEARCH("italien",B458)),ISNUMBER(SEARCH("espagn",B458)),ISNUMBER(SEARCH("catalan",B458)),ISNUMBER(SEARCH("flamand",B458)),ISNUMBER(SEARCH("belge",B458)),ISNUMBER(SEARCH("hollandais",B458)),ISNUMBER(SEARCH("néerlandais",B458)),ISNUMBER(SEARCH("allemand",B458)),ISNUMBER(SEARCH("autrichien",B458)),ISNUMBER(SEARCH("suisse",B458)),ISNUMBER(SEARCH("anglais",B458)),ISNUMBER(SEARCH("britannique",B458)),ISNUMBER(SEARCH("écossais",B458)),ISNUMBER(SEARCH("irlandais",B458)),ISNUMBER(SEARCH("russe",B458)),ISNUMBER(SEARCH("portugais",B458)),ISNUMBER(SEARCH("danois",B458)),ISNUMBER(SEARCH("norvégien",B458)),ISNUMBER(SEARCH("suédois",B458)),ISNUMBER(SEARCH("finlandais",B458)),ISNUMBER(SEARCH("polonais",B458)),ISNUMBER(SEARCH("tchèque",B458)),ISNUMBER(SEARCH("hongrois",B458)),ISNUMBER(SEARCH("grec",B458)),ISNUMBER(SEARCH("byzantin",B458)),ISNUMBER(SEARCH("croate",B458)),ISNUMBER(SEARCH("ukrainien",B458)),ISNUMBER(SEARCH("bulgare",B458)),ISNUMBER(SEARCH("biélorusse",B458)),ISNUMBER(SEARCH("maltais",B458))),"Autres pays d'Europe",IF(OR(ISNUMBER(SEARCH("américain",B458)),ISNUMBER(SEARCH("mexicain",B458)),ISNUMBER(SEARCH("canadien",B458)),ISNUMBER(SEARCH("brésilien",B458)),ISNUMBER(SEARCH("argentin",B458))),"Amérique",IF(OR(ISNUMBER(SEARCH("chinois",B458)),ISNUMBER(SEARCH("japonais",B458)),ISNUMBER(SEARCH("coréen",B458)),ISNUMBER(SEARCH("indien",B458)),ISNUMBER(SEARCH("persan",B458)),ISNUMBER(SEARCH("iranien",B458))),"Asie","(non classée)"))))</f>
        <v/>
      </c>
    </row>
    <row r="459">
      <c r="A459" s="2" t="inlineStr">
        <is>
          <t>JOSEPH DUCREUX</t>
        </is>
      </c>
      <c r="B459" s="2" t="inlineStr">
        <is>
          <t>française</t>
        </is>
      </c>
      <c r="C459" s="2" t="inlineStr">
        <is>
          <t>peinture</t>
        </is>
      </c>
      <c r="D459" s="2" t="inlineStr">
        <is>
          <t>18e</t>
        </is>
      </c>
      <c r="U459">
        <f>IF(ISNUMBER(SEARCH("fran",B459)),"France",IF(OR(ISNUMBER(SEARCH("italien",B459)),ISNUMBER(SEARCH("espagn",B459)),ISNUMBER(SEARCH("catalan",B459)),ISNUMBER(SEARCH("flamand",B459)),ISNUMBER(SEARCH("belge",B459)),ISNUMBER(SEARCH("hollandais",B459)),ISNUMBER(SEARCH("néerlandais",B459)),ISNUMBER(SEARCH("allemand",B459)),ISNUMBER(SEARCH("autrichien",B459)),ISNUMBER(SEARCH("suisse",B459)),ISNUMBER(SEARCH("anglais",B459)),ISNUMBER(SEARCH("britannique",B459)),ISNUMBER(SEARCH("écossais",B459)),ISNUMBER(SEARCH("irlandais",B459)),ISNUMBER(SEARCH("russe",B459)),ISNUMBER(SEARCH("portugais",B459)),ISNUMBER(SEARCH("danois",B459)),ISNUMBER(SEARCH("norvégien",B459)),ISNUMBER(SEARCH("suédois",B459)),ISNUMBER(SEARCH("finlandais",B459)),ISNUMBER(SEARCH("polonais",B459)),ISNUMBER(SEARCH("tchèque",B459)),ISNUMBER(SEARCH("hongrois",B459)),ISNUMBER(SEARCH("grec",B459)),ISNUMBER(SEARCH("byzantin",B459)),ISNUMBER(SEARCH("croate",B459)),ISNUMBER(SEARCH("ukrainien",B459)),ISNUMBER(SEARCH("bulgare",B459)),ISNUMBER(SEARCH("biélorusse",B459)),ISNUMBER(SEARCH("maltais",B459))),"Autres pays d'Europe",IF(OR(ISNUMBER(SEARCH("américain",B459)),ISNUMBER(SEARCH("mexicain",B459)),ISNUMBER(SEARCH("canadien",B459)),ISNUMBER(SEARCH("brésilien",B459)),ISNUMBER(SEARCH("argentin",B459))),"Amérique",IF(OR(ISNUMBER(SEARCH("chinois",B459)),ISNUMBER(SEARCH("japonais",B459)),ISNUMBER(SEARCH("coréen",B459)),ISNUMBER(SEARCH("indien",B459)),ISNUMBER(SEARCH("persan",B459)),ISNUMBER(SEARCH("iranien",B459))),"Asie","(non classée)"))))</f>
        <v/>
      </c>
    </row>
    <row r="460">
      <c r="A460" s="2" t="inlineStr">
        <is>
          <t>JOSEPH NOLLEKENS</t>
        </is>
      </c>
      <c r="B460" s="2" t="inlineStr">
        <is>
          <t>anglaise (Royaume-Uni)</t>
        </is>
      </c>
      <c r="C460" s="2" t="inlineStr">
        <is>
          <t>sculpture</t>
        </is>
      </c>
      <c r="D460" s="2" t="inlineStr">
        <is>
          <t>18e</t>
        </is>
      </c>
      <c r="U460">
        <f>IF(ISNUMBER(SEARCH("fran",B460)),"France",IF(OR(ISNUMBER(SEARCH("italien",B460)),ISNUMBER(SEARCH("espagn",B460)),ISNUMBER(SEARCH("catalan",B460)),ISNUMBER(SEARCH("flamand",B460)),ISNUMBER(SEARCH("belge",B460)),ISNUMBER(SEARCH("hollandais",B460)),ISNUMBER(SEARCH("néerlandais",B460)),ISNUMBER(SEARCH("allemand",B460)),ISNUMBER(SEARCH("autrichien",B460)),ISNUMBER(SEARCH("suisse",B460)),ISNUMBER(SEARCH("anglais",B460)),ISNUMBER(SEARCH("britannique",B460)),ISNUMBER(SEARCH("écossais",B460)),ISNUMBER(SEARCH("irlandais",B460)),ISNUMBER(SEARCH("russe",B460)),ISNUMBER(SEARCH("portugais",B460)),ISNUMBER(SEARCH("danois",B460)),ISNUMBER(SEARCH("norvégien",B460)),ISNUMBER(SEARCH("suédois",B460)),ISNUMBER(SEARCH("finlandais",B460)),ISNUMBER(SEARCH("polonais",B460)),ISNUMBER(SEARCH("tchèque",B460)),ISNUMBER(SEARCH("hongrois",B460)),ISNUMBER(SEARCH("grec",B460)),ISNUMBER(SEARCH("byzantin",B460)),ISNUMBER(SEARCH("croate",B460)),ISNUMBER(SEARCH("ukrainien",B460)),ISNUMBER(SEARCH("bulgare",B460)),ISNUMBER(SEARCH("biélorusse",B460)),ISNUMBER(SEARCH("maltais",B460))),"Autres pays d'Europe",IF(OR(ISNUMBER(SEARCH("américain",B460)),ISNUMBER(SEARCH("mexicain",B460)),ISNUMBER(SEARCH("canadien",B460)),ISNUMBER(SEARCH("brésilien",B460)),ISNUMBER(SEARCH("argentin",B460))),"Amérique",IF(OR(ISNUMBER(SEARCH("chinois",B460)),ISNUMBER(SEARCH("japonais",B460)),ISNUMBER(SEARCH("coréen",B460)),ISNUMBER(SEARCH("indien",B460)),ISNUMBER(SEARCH("persan",B460)),ISNUMBER(SEARCH("iranien",B460))),"Asie","(non classée)"))))</f>
        <v/>
      </c>
    </row>
    <row r="461">
      <c r="A461" s="2" t="inlineStr">
        <is>
          <t>JOSEPH WRIGHT OF DERBY</t>
        </is>
      </c>
      <c r="B461" s="2" t="inlineStr">
        <is>
          <t>anglaise (Royaume-Uni)</t>
        </is>
      </c>
      <c r="C461" s="2" t="inlineStr">
        <is>
          <t>peinture</t>
        </is>
      </c>
      <c r="D461" s="2" t="inlineStr">
        <is>
          <t>18e</t>
        </is>
      </c>
      <c r="U461">
        <f>IF(ISNUMBER(SEARCH("fran",B461)),"France",IF(OR(ISNUMBER(SEARCH("italien",B461)),ISNUMBER(SEARCH("espagn",B461)),ISNUMBER(SEARCH("catalan",B461)),ISNUMBER(SEARCH("flamand",B461)),ISNUMBER(SEARCH("belge",B461)),ISNUMBER(SEARCH("hollandais",B461)),ISNUMBER(SEARCH("néerlandais",B461)),ISNUMBER(SEARCH("allemand",B461)),ISNUMBER(SEARCH("autrichien",B461)),ISNUMBER(SEARCH("suisse",B461)),ISNUMBER(SEARCH("anglais",B461)),ISNUMBER(SEARCH("britannique",B461)),ISNUMBER(SEARCH("écossais",B461)),ISNUMBER(SEARCH("irlandais",B461)),ISNUMBER(SEARCH("russe",B461)),ISNUMBER(SEARCH("portugais",B461)),ISNUMBER(SEARCH("danois",B461)),ISNUMBER(SEARCH("norvégien",B461)),ISNUMBER(SEARCH("suédois",B461)),ISNUMBER(SEARCH("finlandais",B461)),ISNUMBER(SEARCH("polonais",B461)),ISNUMBER(SEARCH("tchèque",B461)),ISNUMBER(SEARCH("hongrois",B461)),ISNUMBER(SEARCH("grec",B461)),ISNUMBER(SEARCH("byzantin",B461)),ISNUMBER(SEARCH("croate",B461)),ISNUMBER(SEARCH("ukrainien",B461)),ISNUMBER(SEARCH("bulgare",B461)),ISNUMBER(SEARCH("biélorusse",B461)),ISNUMBER(SEARCH("maltais",B461))),"Autres pays d'Europe",IF(OR(ISNUMBER(SEARCH("américain",B461)),ISNUMBER(SEARCH("mexicain",B461)),ISNUMBER(SEARCH("canadien",B461)),ISNUMBER(SEARCH("brésilien",B461)),ISNUMBER(SEARCH("argentin",B461))),"Amérique",IF(OR(ISNUMBER(SEARCH("chinois",B461)),ISNUMBER(SEARCH("japonais",B461)),ISNUMBER(SEARCH("coréen",B461)),ISNUMBER(SEARCH("indien",B461)),ISNUMBER(SEARCH("persan",B461)),ISNUMBER(SEARCH("iranien",B461))),"Asie","(non classée)"))))</f>
        <v/>
      </c>
    </row>
    <row r="462">
      <c r="A462" s="2" t="inlineStr">
        <is>
          <t>JOSHUA REYNOLDS</t>
        </is>
      </c>
      <c r="B462" s="2" t="inlineStr">
        <is>
          <t>anglaise (Royaume-Uni)</t>
        </is>
      </c>
      <c r="C462" s="2" t="inlineStr">
        <is>
          <t>peinture</t>
        </is>
      </c>
      <c r="D462" s="2" t="inlineStr">
        <is>
          <t>18e</t>
        </is>
      </c>
      <c r="U462">
        <f>IF(ISNUMBER(SEARCH("fran",B462)),"France",IF(OR(ISNUMBER(SEARCH("italien",B462)),ISNUMBER(SEARCH("espagn",B462)),ISNUMBER(SEARCH("catalan",B462)),ISNUMBER(SEARCH("flamand",B462)),ISNUMBER(SEARCH("belge",B462)),ISNUMBER(SEARCH("hollandais",B462)),ISNUMBER(SEARCH("néerlandais",B462)),ISNUMBER(SEARCH("allemand",B462)),ISNUMBER(SEARCH("autrichien",B462)),ISNUMBER(SEARCH("suisse",B462)),ISNUMBER(SEARCH("anglais",B462)),ISNUMBER(SEARCH("britannique",B462)),ISNUMBER(SEARCH("écossais",B462)),ISNUMBER(SEARCH("irlandais",B462)),ISNUMBER(SEARCH("russe",B462)),ISNUMBER(SEARCH("portugais",B462)),ISNUMBER(SEARCH("danois",B462)),ISNUMBER(SEARCH("norvégien",B462)),ISNUMBER(SEARCH("suédois",B462)),ISNUMBER(SEARCH("finlandais",B462)),ISNUMBER(SEARCH("polonais",B462)),ISNUMBER(SEARCH("tchèque",B462)),ISNUMBER(SEARCH("hongrois",B462)),ISNUMBER(SEARCH("grec",B462)),ISNUMBER(SEARCH("byzantin",B462)),ISNUMBER(SEARCH("croate",B462)),ISNUMBER(SEARCH("ukrainien",B462)),ISNUMBER(SEARCH("bulgare",B462)),ISNUMBER(SEARCH("biélorusse",B462)),ISNUMBER(SEARCH("maltais",B462))),"Autres pays d'Europe",IF(OR(ISNUMBER(SEARCH("américain",B462)),ISNUMBER(SEARCH("mexicain",B462)),ISNUMBER(SEARCH("canadien",B462)),ISNUMBER(SEARCH("brésilien",B462)),ISNUMBER(SEARCH("argentin",B462))),"Amérique",IF(OR(ISNUMBER(SEARCH("chinois",B462)),ISNUMBER(SEARCH("japonais",B462)),ISNUMBER(SEARCH("coréen",B462)),ISNUMBER(SEARCH("indien",B462)),ISNUMBER(SEARCH("persan",B462)),ISNUMBER(SEARCH("iranien",B462))),"Asie","(non classée)"))))</f>
        <v/>
      </c>
    </row>
    <row r="463">
      <c r="A463" s="2" t="inlineStr">
        <is>
          <t>JOSÉ GUADALUPE POSADA</t>
        </is>
      </c>
      <c r="B463" s="2" t="inlineStr">
        <is>
          <t>mexicaine</t>
        </is>
      </c>
      <c r="C463" s="2" t="inlineStr">
        <is>
          <t>peinture</t>
        </is>
      </c>
      <c r="D463" s="2" t="inlineStr">
        <is>
          <t>20e</t>
        </is>
      </c>
      <c r="U463">
        <f>IF(ISNUMBER(SEARCH("fran",B463)),"France",IF(OR(ISNUMBER(SEARCH("italien",B463)),ISNUMBER(SEARCH("espagn",B463)),ISNUMBER(SEARCH("catalan",B463)),ISNUMBER(SEARCH("flamand",B463)),ISNUMBER(SEARCH("belge",B463)),ISNUMBER(SEARCH("hollandais",B463)),ISNUMBER(SEARCH("néerlandais",B463)),ISNUMBER(SEARCH("allemand",B463)),ISNUMBER(SEARCH("autrichien",B463)),ISNUMBER(SEARCH("suisse",B463)),ISNUMBER(SEARCH("anglais",B463)),ISNUMBER(SEARCH("britannique",B463)),ISNUMBER(SEARCH("écossais",B463)),ISNUMBER(SEARCH("irlandais",B463)),ISNUMBER(SEARCH("russe",B463)),ISNUMBER(SEARCH("portugais",B463)),ISNUMBER(SEARCH("danois",B463)),ISNUMBER(SEARCH("norvégien",B463)),ISNUMBER(SEARCH("suédois",B463)),ISNUMBER(SEARCH("finlandais",B463)),ISNUMBER(SEARCH("polonais",B463)),ISNUMBER(SEARCH("tchèque",B463)),ISNUMBER(SEARCH("hongrois",B463)),ISNUMBER(SEARCH("grec",B463)),ISNUMBER(SEARCH("byzantin",B463)),ISNUMBER(SEARCH("croate",B463)),ISNUMBER(SEARCH("ukrainien",B463)),ISNUMBER(SEARCH("bulgare",B463)),ISNUMBER(SEARCH("biélorusse",B463)),ISNUMBER(SEARCH("maltais",B463))),"Autres pays d'Europe",IF(OR(ISNUMBER(SEARCH("américain",B463)),ISNUMBER(SEARCH("mexicain",B463)),ISNUMBER(SEARCH("canadien",B463)),ISNUMBER(SEARCH("brésilien",B463)),ISNUMBER(SEARCH("argentin",B463))),"Amérique",IF(OR(ISNUMBER(SEARCH("chinois",B463)),ISNUMBER(SEARCH("japonais",B463)),ISNUMBER(SEARCH("coréen",B463)),ISNUMBER(SEARCH("indien",B463)),ISNUMBER(SEARCH("persan",B463)),ISNUMBER(SEARCH("iranien",B463))),"Asie","(non classée)"))))</f>
        <v/>
      </c>
    </row>
    <row r="464">
      <c r="A464" s="2" t="inlineStr">
        <is>
          <t>JOSÉ PIQUER Y DUART</t>
        </is>
      </c>
      <c r="B464" s="2" t="inlineStr">
        <is>
          <t>espagnole</t>
        </is>
      </c>
      <c r="C464" s="2" t="inlineStr">
        <is>
          <t>sculpture</t>
        </is>
      </c>
      <c r="D464" s="2" t="inlineStr">
        <is>
          <t>19e</t>
        </is>
      </c>
      <c r="U464">
        <f>IF(ISNUMBER(SEARCH("fran",B464)),"France",IF(OR(ISNUMBER(SEARCH("italien",B464)),ISNUMBER(SEARCH("espagn",B464)),ISNUMBER(SEARCH("catalan",B464)),ISNUMBER(SEARCH("flamand",B464)),ISNUMBER(SEARCH("belge",B464)),ISNUMBER(SEARCH("hollandais",B464)),ISNUMBER(SEARCH("néerlandais",B464)),ISNUMBER(SEARCH("allemand",B464)),ISNUMBER(SEARCH("autrichien",B464)),ISNUMBER(SEARCH("suisse",B464)),ISNUMBER(SEARCH("anglais",B464)),ISNUMBER(SEARCH("britannique",B464)),ISNUMBER(SEARCH("écossais",B464)),ISNUMBER(SEARCH("irlandais",B464)),ISNUMBER(SEARCH("russe",B464)),ISNUMBER(SEARCH("portugais",B464)),ISNUMBER(SEARCH("danois",B464)),ISNUMBER(SEARCH("norvégien",B464)),ISNUMBER(SEARCH("suédois",B464)),ISNUMBER(SEARCH("finlandais",B464)),ISNUMBER(SEARCH("polonais",B464)),ISNUMBER(SEARCH("tchèque",B464)),ISNUMBER(SEARCH("hongrois",B464)),ISNUMBER(SEARCH("grec",B464)),ISNUMBER(SEARCH("byzantin",B464)),ISNUMBER(SEARCH("croate",B464)),ISNUMBER(SEARCH("ukrainien",B464)),ISNUMBER(SEARCH("bulgare",B464)),ISNUMBER(SEARCH("biélorusse",B464)),ISNUMBER(SEARCH("maltais",B464))),"Autres pays d'Europe",IF(OR(ISNUMBER(SEARCH("américain",B464)),ISNUMBER(SEARCH("mexicain",B464)),ISNUMBER(SEARCH("canadien",B464)),ISNUMBER(SEARCH("brésilien",B464)),ISNUMBER(SEARCH("argentin",B464))),"Amérique",IF(OR(ISNUMBER(SEARCH("chinois",B464)),ISNUMBER(SEARCH("japonais",B464)),ISNUMBER(SEARCH("coréen",B464)),ISNUMBER(SEARCH("indien",B464)),ISNUMBER(SEARCH("persan",B464)),ISNUMBER(SEARCH("iranien",B464))),"Asie","(non classée)"))))</f>
        <v/>
      </c>
    </row>
    <row r="465">
      <c r="A465" s="2" t="inlineStr">
        <is>
          <t>JOSÉ DE MORA</t>
        </is>
      </c>
      <c r="B465" s="2" t="inlineStr">
        <is>
          <t>espagnole</t>
        </is>
      </c>
      <c r="C465" s="2" t="inlineStr">
        <is>
          <t>sculpture</t>
        </is>
      </c>
      <c r="D465" s="2" t="inlineStr">
        <is>
          <t>17e</t>
        </is>
      </c>
      <c r="U465">
        <f>IF(ISNUMBER(SEARCH("fran",B465)),"France",IF(OR(ISNUMBER(SEARCH("italien",B465)),ISNUMBER(SEARCH("espagn",B465)),ISNUMBER(SEARCH("catalan",B465)),ISNUMBER(SEARCH("flamand",B465)),ISNUMBER(SEARCH("belge",B465)),ISNUMBER(SEARCH("hollandais",B465)),ISNUMBER(SEARCH("néerlandais",B465)),ISNUMBER(SEARCH("allemand",B465)),ISNUMBER(SEARCH("autrichien",B465)),ISNUMBER(SEARCH("suisse",B465)),ISNUMBER(SEARCH("anglais",B465)),ISNUMBER(SEARCH("britannique",B465)),ISNUMBER(SEARCH("écossais",B465)),ISNUMBER(SEARCH("irlandais",B465)),ISNUMBER(SEARCH("russe",B465)),ISNUMBER(SEARCH("portugais",B465)),ISNUMBER(SEARCH("danois",B465)),ISNUMBER(SEARCH("norvégien",B465)),ISNUMBER(SEARCH("suédois",B465)),ISNUMBER(SEARCH("finlandais",B465)),ISNUMBER(SEARCH("polonais",B465)),ISNUMBER(SEARCH("tchèque",B465)),ISNUMBER(SEARCH("hongrois",B465)),ISNUMBER(SEARCH("grec",B465)),ISNUMBER(SEARCH("byzantin",B465)),ISNUMBER(SEARCH("croate",B465)),ISNUMBER(SEARCH("ukrainien",B465)),ISNUMBER(SEARCH("bulgare",B465)),ISNUMBER(SEARCH("biélorusse",B465)),ISNUMBER(SEARCH("maltais",B465))),"Autres pays d'Europe",IF(OR(ISNUMBER(SEARCH("américain",B465)),ISNUMBER(SEARCH("mexicain",B465)),ISNUMBER(SEARCH("canadien",B465)),ISNUMBER(SEARCH("brésilien",B465)),ISNUMBER(SEARCH("argentin",B465))),"Amérique",IF(OR(ISNUMBER(SEARCH("chinois",B465)),ISNUMBER(SEARCH("japonais",B465)),ISNUMBER(SEARCH("coréen",B465)),ISNUMBER(SEARCH("indien",B465)),ISNUMBER(SEARCH("persan",B465)),ISNUMBER(SEARCH("iranien",B465))),"Asie","(non classée)"))))</f>
        <v/>
      </c>
    </row>
    <row r="466">
      <c r="A466" s="2" t="inlineStr">
        <is>
          <t>JOSÉ DE RIBERA</t>
        </is>
      </c>
      <c r="B466" s="2" t="inlineStr">
        <is>
          <t>espagnole</t>
        </is>
      </c>
      <c r="C466" s="2" t="inlineStr">
        <is>
          <t>peinture</t>
        </is>
      </c>
      <c r="D466" s="2" t="inlineStr">
        <is>
          <t>17e</t>
        </is>
      </c>
      <c r="U466">
        <f>IF(ISNUMBER(SEARCH("fran",B466)),"France",IF(OR(ISNUMBER(SEARCH("italien",B466)),ISNUMBER(SEARCH("espagn",B466)),ISNUMBER(SEARCH("catalan",B466)),ISNUMBER(SEARCH("flamand",B466)),ISNUMBER(SEARCH("belge",B466)),ISNUMBER(SEARCH("hollandais",B466)),ISNUMBER(SEARCH("néerlandais",B466)),ISNUMBER(SEARCH("allemand",B466)),ISNUMBER(SEARCH("autrichien",B466)),ISNUMBER(SEARCH("suisse",B466)),ISNUMBER(SEARCH("anglais",B466)),ISNUMBER(SEARCH("britannique",B466)),ISNUMBER(SEARCH("écossais",B466)),ISNUMBER(SEARCH("irlandais",B466)),ISNUMBER(SEARCH("russe",B466)),ISNUMBER(SEARCH("portugais",B466)),ISNUMBER(SEARCH("danois",B466)),ISNUMBER(SEARCH("norvégien",B466)),ISNUMBER(SEARCH("suédois",B466)),ISNUMBER(SEARCH("finlandais",B466)),ISNUMBER(SEARCH("polonais",B466)),ISNUMBER(SEARCH("tchèque",B466)),ISNUMBER(SEARCH("hongrois",B466)),ISNUMBER(SEARCH("grec",B466)),ISNUMBER(SEARCH("byzantin",B466)),ISNUMBER(SEARCH("croate",B466)),ISNUMBER(SEARCH("ukrainien",B466)),ISNUMBER(SEARCH("bulgare",B466)),ISNUMBER(SEARCH("biélorusse",B466)),ISNUMBER(SEARCH("maltais",B466))),"Autres pays d'Europe",IF(OR(ISNUMBER(SEARCH("américain",B466)),ISNUMBER(SEARCH("mexicain",B466)),ISNUMBER(SEARCH("canadien",B466)),ISNUMBER(SEARCH("brésilien",B466)),ISNUMBER(SEARCH("argentin",B466))),"Amérique",IF(OR(ISNUMBER(SEARCH("chinois",B466)),ISNUMBER(SEARCH("japonais",B466)),ISNUMBER(SEARCH("coréen",B466)),ISNUMBER(SEARCH("indien",B466)),ISNUMBER(SEARCH("persan",B466)),ISNUMBER(SEARCH("iranien",B466))),"Asie","(non classée)"))))</f>
        <v/>
      </c>
    </row>
    <row r="467">
      <c r="A467" s="2" t="inlineStr">
        <is>
          <t>JUAN GRIS</t>
        </is>
      </c>
      <c r="B467" s="2" t="inlineStr">
        <is>
          <t>espagnole</t>
        </is>
      </c>
      <c r="C467" s="2" t="inlineStr">
        <is>
          <t>peinture</t>
        </is>
      </c>
      <c r="D467" s="2" t="inlineStr">
        <is>
          <t>20e</t>
        </is>
      </c>
      <c r="U467">
        <f>IF(ISNUMBER(SEARCH("fran",B467)),"France",IF(OR(ISNUMBER(SEARCH("italien",B467)),ISNUMBER(SEARCH("espagn",B467)),ISNUMBER(SEARCH("catalan",B467)),ISNUMBER(SEARCH("flamand",B467)),ISNUMBER(SEARCH("belge",B467)),ISNUMBER(SEARCH("hollandais",B467)),ISNUMBER(SEARCH("néerlandais",B467)),ISNUMBER(SEARCH("allemand",B467)),ISNUMBER(SEARCH("autrichien",B467)),ISNUMBER(SEARCH("suisse",B467)),ISNUMBER(SEARCH("anglais",B467)),ISNUMBER(SEARCH("britannique",B467)),ISNUMBER(SEARCH("écossais",B467)),ISNUMBER(SEARCH("irlandais",B467)),ISNUMBER(SEARCH("russe",B467)),ISNUMBER(SEARCH("portugais",B467)),ISNUMBER(SEARCH("danois",B467)),ISNUMBER(SEARCH("norvégien",B467)),ISNUMBER(SEARCH("suédois",B467)),ISNUMBER(SEARCH("finlandais",B467)),ISNUMBER(SEARCH("polonais",B467)),ISNUMBER(SEARCH("tchèque",B467)),ISNUMBER(SEARCH("hongrois",B467)),ISNUMBER(SEARCH("grec",B467)),ISNUMBER(SEARCH("byzantin",B467)),ISNUMBER(SEARCH("croate",B467)),ISNUMBER(SEARCH("ukrainien",B467)),ISNUMBER(SEARCH("bulgare",B467)),ISNUMBER(SEARCH("biélorusse",B467)),ISNUMBER(SEARCH("maltais",B467))),"Autres pays d'Europe",IF(OR(ISNUMBER(SEARCH("américain",B467)),ISNUMBER(SEARCH("mexicain",B467)),ISNUMBER(SEARCH("canadien",B467)),ISNUMBER(SEARCH("brésilien",B467)),ISNUMBER(SEARCH("argentin",B467))),"Amérique",IF(OR(ISNUMBER(SEARCH("chinois",B467)),ISNUMBER(SEARCH("japonais",B467)),ISNUMBER(SEARCH("coréen",B467)),ISNUMBER(SEARCH("indien",B467)),ISNUMBER(SEARCH("persan",B467)),ISNUMBER(SEARCH("iranien",B467))),"Asie","(non classée)"))))</f>
        <v/>
      </c>
    </row>
    <row r="468">
      <c r="A468" s="2" t="inlineStr">
        <is>
          <t>JUAN MARTÍNEZ MONTAÑÉS</t>
        </is>
      </c>
      <c r="B468" s="2" t="inlineStr">
        <is>
          <t>espagnole</t>
        </is>
      </c>
      <c r="C468" s="2" t="inlineStr">
        <is>
          <t>sculpture</t>
        </is>
      </c>
      <c r="D468" s="2" t="inlineStr">
        <is>
          <t>17e</t>
        </is>
      </c>
      <c r="U468">
        <f>IF(ISNUMBER(SEARCH("fran",B468)),"France",IF(OR(ISNUMBER(SEARCH("italien",B468)),ISNUMBER(SEARCH("espagn",B468)),ISNUMBER(SEARCH("catalan",B468)),ISNUMBER(SEARCH("flamand",B468)),ISNUMBER(SEARCH("belge",B468)),ISNUMBER(SEARCH("hollandais",B468)),ISNUMBER(SEARCH("néerlandais",B468)),ISNUMBER(SEARCH("allemand",B468)),ISNUMBER(SEARCH("autrichien",B468)),ISNUMBER(SEARCH("suisse",B468)),ISNUMBER(SEARCH("anglais",B468)),ISNUMBER(SEARCH("britannique",B468)),ISNUMBER(SEARCH("écossais",B468)),ISNUMBER(SEARCH("irlandais",B468)),ISNUMBER(SEARCH("russe",B468)),ISNUMBER(SEARCH("portugais",B468)),ISNUMBER(SEARCH("danois",B468)),ISNUMBER(SEARCH("norvégien",B468)),ISNUMBER(SEARCH("suédois",B468)),ISNUMBER(SEARCH("finlandais",B468)),ISNUMBER(SEARCH("polonais",B468)),ISNUMBER(SEARCH("tchèque",B468)),ISNUMBER(SEARCH("hongrois",B468)),ISNUMBER(SEARCH("grec",B468)),ISNUMBER(SEARCH("byzantin",B468)),ISNUMBER(SEARCH("croate",B468)),ISNUMBER(SEARCH("ukrainien",B468)),ISNUMBER(SEARCH("bulgare",B468)),ISNUMBER(SEARCH("biélorusse",B468)),ISNUMBER(SEARCH("maltais",B468))),"Autres pays d'Europe",IF(OR(ISNUMBER(SEARCH("américain",B468)),ISNUMBER(SEARCH("mexicain",B468)),ISNUMBER(SEARCH("canadien",B468)),ISNUMBER(SEARCH("brésilien",B468)),ISNUMBER(SEARCH("argentin",B468))),"Amérique",IF(OR(ISNUMBER(SEARCH("chinois",B468)),ISNUMBER(SEARCH("japonais",B468)),ISNUMBER(SEARCH("coréen",B468)),ISNUMBER(SEARCH("indien",B468)),ISNUMBER(SEARCH("persan",B468)),ISNUMBER(SEARCH("iranien",B468))),"Asie","(non classée)"))))</f>
        <v/>
      </c>
    </row>
    <row r="469">
      <c r="A469" s="2" t="inlineStr">
        <is>
          <t>JUAN PANTOJA DE LA CRUZ</t>
        </is>
      </c>
      <c r="B469" s="2" t="inlineStr">
        <is>
          <t>espagnole</t>
        </is>
      </c>
      <c r="C469" s="2" t="inlineStr">
        <is>
          <t>peinture</t>
        </is>
      </c>
      <c r="D469" s="2" t="inlineStr">
        <is>
          <t>16e</t>
        </is>
      </c>
      <c r="U469">
        <f>IF(ISNUMBER(SEARCH("fran",B469)),"France",IF(OR(ISNUMBER(SEARCH("italien",B469)),ISNUMBER(SEARCH("espagn",B469)),ISNUMBER(SEARCH("catalan",B469)),ISNUMBER(SEARCH("flamand",B469)),ISNUMBER(SEARCH("belge",B469)),ISNUMBER(SEARCH("hollandais",B469)),ISNUMBER(SEARCH("néerlandais",B469)),ISNUMBER(SEARCH("allemand",B469)),ISNUMBER(SEARCH("autrichien",B469)),ISNUMBER(SEARCH("suisse",B469)),ISNUMBER(SEARCH("anglais",B469)),ISNUMBER(SEARCH("britannique",B469)),ISNUMBER(SEARCH("écossais",B469)),ISNUMBER(SEARCH("irlandais",B469)),ISNUMBER(SEARCH("russe",B469)),ISNUMBER(SEARCH("portugais",B469)),ISNUMBER(SEARCH("danois",B469)),ISNUMBER(SEARCH("norvégien",B469)),ISNUMBER(SEARCH("suédois",B469)),ISNUMBER(SEARCH("finlandais",B469)),ISNUMBER(SEARCH("polonais",B469)),ISNUMBER(SEARCH("tchèque",B469)),ISNUMBER(SEARCH("hongrois",B469)),ISNUMBER(SEARCH("grec",B469)),ISNUMBER(SEARCH("byzantin",B469)),ISNUMBER(SEARCH("croate",B469)),ISNUMBER(SEARCH("ukrainien",B469)),ISNUMBER(SEARCH("bulgare",B469)),ISNUMBER(SEARCH("biélorusse",B469)),ISNUMBER(SEARCH("maltais",B469))),"Autres pays d'Europe",IF(OR(ISNUMBER(SEARCH("américain",B469)),ISNUMBER(SEARCH("mexicain",B469)),ISNUMBER(SEARCH("canadien",B469)),ISNUMBER(SEARCH("brésilien",B469)),ISNUMBER(SEARCH("argentin",B469))),"Amérique",IF(OR(ISNUMBER(SEARCH("chinois",B469)),ISNUMBER(SEARCH("japonais",B469)),ISNUMBER(SEARCH("coréen",B469)),ISNUMBER(SEARCH("indien",B469)),ISNUMBER(SEARCH("persan",B469)),ISNUMBER(SEARCH("iranien",B469))),"Asie","(non classée)"))))</f>
        <v/>
      </c>
    </row>
    <row r="470">
      <c r="A470" s="2" t="inlineStr">
        <is>
          <t>JUAN DE FLANDES</t>
        </is>
      </c>
      <c r="B470" s="2" t="inlineStr">
        <is>
          <t>espagnole</t>
        </is>
      </c>
      <c r="C470" s="2" t="inlineStr">
        <is>
          <t>peinture</t>
        </is>
      </c>
      <c r="D470" s="2" t="inlineStr">
        <is>
          <t>16e</t>
        </is>
      </c>
      <c r="U470">
        <f>IF(ISNUMBER(SEARCH("fran",B470)),"France",IF(OR(ISNUMBER(SEARCH("italien",B470)),ISNUMBER(SEARCH("espagn",B470)),ISNUMBER(SEARCH("catalan",B470)),ISNUMBER(SEARCH("flamand",B470)),ISNUMBER(SEARCH("belge",B470)),ISNUMBER(SEARCH("hollandais",B470)),ISNUMBER(SEARCH("néerlandais",B470)),ISNUMBER(SEARCH("allemand",B470)),ISNUMBER(SEARCH("autrichien",B470)),ISNUMBER(SEARCH("suisse",B470)),ISNUMBER(SEARCH("anglais",B470)),ISNUMBER(SEARCH("britannique",B470)),ISNUMBER(SEARCH("écossais",B470)),ISNUMBER(SEARCH("irlandais",B470)),ISNUMBER(SEARCH("russe",B470)),ISNUMBER(SEARCH("portugais",B470)),ISNUMBER(SEARCH("danois",B470)),ISNUMBER(SEARCH("norvégien",B470)),ISNUMBER(SEARCH("suédois",B470)),ISNUMBER(SEARCH("finlandais",B470)),ISNUMBER(SEARCH("polonais",B470)),ISNUMBER(SEARCH("tchèque",B470)),ISNUMBER(SEARCH("hongrois",B470)),ISNUMBER(SEARCH("grec",B470)),ISNUMBER(SEARCH("byzantin",B470)),ISNUMBER(SEARCH("croate",B470)),ISNUMBER(SEARCH("ukrainien",B470)),ISNUMBER(SEARCH("bulgare",B470)),ISNUMBER(SEARCH("biélorusse",B470)),ISNUMBER(SEARCH("maltais",B470))),"Autres pays d'Europe",IF(OR(ISNUMBER(SEARCH("américain",B470)),ISNUMBER(SEARCH("mexicain",B470)),ISNUMBER(SEARCH("canadien",B470)),ISNUMBER(SEARCH("brésilien",B470)),ISNUMBER(SEARCH("argentin",B470))),"Amérique",IF(OR(ISNUMBER(SEARCH("chinois",B470)),ISNUMBER(SEARCH("japonais",B470)),ISNUMBER(SEARCH("coréen",B470)),ISNUMBER(SEARCH("indien",B470)),ISNUMBER(SEARCH("persan",B470)),ISNUMBER(SEARCH("iranien",B470))),"Asie","(non classée)"))))</f>
        <v/>
      </c>
    </row>
    <row r="471">
      <c r="A471" s="2" t="inlineStr">
        <is>
          <t>JUAN DE JUNI</t>
        </is>
      </c>
      <c r="B471" s="2" t="inlineStr">
        <is>
          <t>espagnole</t>
        </is>
      </c>
      <c r="C471" s="2" t="inlineStr">
        <is>
          <t>sculpture</t>
        </is>
      </c>
      <c r="D471" s="2" t="inlineStr">
        <is>
          <t>16e</t>
        </is>
      </c>
      <c r="U471">
        <f>IF(ISNUMBER(SEARCH("fran",B471)),"France",IF(OR(ISNUMBER(SEARCH("italien",B471)),ISNUMBER(SEARCH("espagn",B471)),ISNUMBER(SEARCH("catalan",B471)),ISNUMBER(SEARCH("flamand",B471)),ISNUMBER(SEARCH("belge",B471)),ISNUMBER(SEARCH("hollandais",B471)),ISNUMBER(SEARCH("néerlandais",B471)),ISNUMBER(SEARCH("allemand",B471)),ISNUMBER(SEARCH("autrichien",B471)),ISNUMBER(SEARCH("suisse",B471)),ISNUMBER(SEARCH("anglais",B471)),ISNUMBER(SEARCH("britannique",B471)),ISNUMBER(SEARCH("écossais",B471)),ISNUMBER(SEARCH("irlandais",B471)),ISNUMBER(SEARCH("russe",B471)),ISNUMBER(SEARCH("portugais",B471)),ISNUMBER(SEARCH("danois",B471)),ISNUMBER(SEARCH("norvégien",B471)),ISNUMBER(SEARCH("suédois",B471)),ISNUMBER(SEARCH("finlandais",B471)),ISNUMBER(SEARCH("polonais",B471)),ISNUMBER(SEARCH("tchèque",B471)),ISNUMBER(SEARCH("hongrois",B471)),ISNUMBER(SEARCH("grec",B471)),ISNUMBER(SEARCH("byzantin",B471)),ISNUMBER(SEARCH("croate",B471)),ISNUMBER(SEARCH("ukrainien",B471)),ISNUMBER(SEARCH("bulgare",B471)),ISNUMBER(SEARCH("biélorusse",B471)),ISNUMBER(SEARCH("maltais",B471))),"Autres pays d'Europe",IF(OR(ISNUMBER(SEARCH("américain",B471)),ISNUMBER(SEARCH("mexicain",B471)),ISNUMBER(SEARCH("canadien",B471)),ISNUMBER(SEARCH("brésilien",B471)),ISNUMBER(SEARCH("argentin",B471))),"Amérique",IF(OR(ISNUMBER(SEARCH("chinois",B471)),ISNUMBER(SEARCH("japonais",B471)),ISNUMBER(SEARCH("coréen",B471)),ISNUMBER(SEARCH("indien",B471)),ISNUMBER(SEARCH("persan",B471)),ISNUMBER(SEARCH("iranien",B471))),"Asie","(non classée)"))))</f>
        <v/>
      </c>
    </row>
    <row r="472">
      <c r="A472" s="2" t="inlineStr">
        <is>
          <t>JUDITH LEYSTER</t>
        </is>
      </c>
      <c r="B472" s="2" t="inlineStr">
        <is>
          <t>hollandaise (Pays-Bas)</t>
        </is>
      </c>
      <c r="C472" s="2" t="inlineStr">
        <is>
          <t>peinture</t>
        </is>
      </c>
      <c r="D472" s="2" t="inlineStr">
        <is>
          <t>17e</t>
        </is>
      </c>
      <c r="U472">
        <f>IF(ISNUMBER(SEARCH("fran",B472)),"France",IF(OR(ISNUMBER(SEARCH("italien",B472)),ISNUMBER(SEARCH("espagn",B472)),ISNUMBER(SEARCH("catalan",B472)),ISNUMBER(SEARCH("flamand",B472)),ISNUMBER(SEARCH("belge",B472)),ISNUMBER(SEARCH("hollandais",B472)),ISNUMBER(SEARCH("néerlandais",B472)),ISNUMBER(SEARCH("allemand",B472)),ISNUMBER(SEARCH("autrichien",B472)),ISNUMBER(SEARCH("suisse",B472)),ISNUMBER(SEARCH("anglais",B472)),ISNUMBER(SEARCH("britannique",B472)),ISNUMBER(SEARCH("écossais",B472)),ISNUMBER(SEARCH("irlandais",B472)),ISNUMBER(SEARCH("russe",B472)),ISNUMBER(SEARCH("portugais",B472)),ISNUMBER(SEARCH("danois",B472)),ISNUMBER(SEARCH("norvégien",B472)),ISNUMBER(SEARCH("suédois",B472)),ISNUMBER(SEARCH("finlandais",B472)),ISNUMBER(SEARCH("polonais",B472)),ISNUMBER(SEARCH("tchèque",B472)),ISNUMBER(SEARCH("hongrois",B472)),ISNUMBER(SEARCH("grec",B472)),ISNUMBER(SEARCH("byzantin",B472)),ISNUMBER(SEARCH("croate",B472)),ISNUMBER(SEARCH("ukrainien",B472)),ISNUMBER(SEARCH("bulgare",B472)),ISNUMBER(SEARCH("biélorusse",B472)),ISNUMBER(SEARCH("maltais",B472))),"Autres pays d'Europe",IF(OR(ISNUMBER(SEARCH("américain",B472)),ISNUMBER(SEARCH("mexicain",B472)),ISNUMBER(SEARCH("canadien",B472)),ISNUMBER(SEARCH("brésilien",B472)),ISNUMBER(SEARCH("argentin",B472))),"Amérique",IF(OR(ISNUMBER(SEARCH("chinois",B472)),ISNUMBER(SEARCH("japonais",B472)),ISNUMBER(SEARCH("coréen",B472)),ISNUMBER(SEARCH("indien",B472)),ISNUMBER(SEARCH("persan",B472)),ISNUMBER(SEARCH("iranien",B472))),"Asie","(non classée)"))))</f>
        <v/>
      </c>
    </row>
    <row r="473">
      <c r="A473" s="2" t="inlineStr">
        <is>
          <t>JULES DALOU</t>
        </is>
      </c>
      <c r="B473" s="2" t="inlineStr">
        <is>
          <t>française</t>
        </is>
      </c>
      <c r="C473" s="2" t="inlineStr">
        <is>
          <t>sculpture</t>
        </is>
      </c>
      <c r="D473" s="2" t="inlineStr">
        <is>
          <t>19e</t>
        </is>
      </c>
      <c r="U473">
        <f>IF(ISNUMBER(SEARCH("fran",B473)),"France",IF(OR(ISNUMBER(SEARCH("italien",B473)),ISNUMBER(SEARCH("espagn",B473)),ISNUMBER(SEARCH("catalan",B473)),ISNUMBER(SEARCH("flamand",B473)),ISNUMBER(SEARCH("belge",B473)),ISNUMBER(SEARCH("hollandais",B473)),ISNUMBER(SEARCH("néerlandais",B473)),ISNUMBER(SEARCH("allemand",B473)),ISNUMBER(SEARCH("autrichien",B473)),ISNUMBER(SEARCH("suisse",B473)),ISNUMBER(SEARCH("anglais",B473)),ISNUMBER(SEARCH("britannique",B473)),ISNUMBER(SEARCH("écossais",B473)),ISNUMBER(SEARCH("irlandais",B473)),ISNUMBER(SEARCH("russe",B473)),ISNUMBER(SEARCH("portugais",B473)),ISNUMBER(SEARCH("danois",B473)),ISNUMBER(SEARCH("norvégien",B473)),ISNUMBER(SEARCH("suédois",B473)),ISNUMBER(SEARCH("finlandais",B473)),ISNUMBER(SEARCH("polonais",B473)),ISNUMBER(SEARCH("tchèque",B473)),ISNUMBER(SEARCH("hongrois",B473)),ISNUMBER(SEARCH("grec",B473)),ISNUMBER(SEARCH("byzantin",B473)),ISNUMBER(SEARCH("croate",B473)),ISNUMBER(SEARCH("ukrainien",B473)),ISNUMBER(SEARCH("bulgare",B473)),ISNUMBER(SEARCH("biélorusse",B473)),ISNUMBER(SEARCH("maltais",B473))),"Autres pays d'Europe",IF(OR(ISNUMBER(SEARCH("américain",B473)),ISNUMBER(SEARCH("mexicain",B473)),ISNUMBER(SEARCH("canadien",B473)),ISNUMBER(SEARCH("brésilien",B473)),ISNUMBER(SEARCH("argentin",B473))),"Amérique",IF(OR(ISNUMBER(SEARCH("chinois",B473)),ISNUMBER(SEARCH("japonais",B473)),ISNUMBER(SEARCH("coréen",B473)),ISNUMBER(SEARCH("indien",B473)),ISNUMBER(SEARCH("persan",B473)),ISNUMBER(SEARCH("iranien",B473))),"Asie","(non classée)"))))</f>
        <v/>
      </c>
    </row>
    <row r="474">
      <c r="A474" s="2" t="inlineStr">
        <is>
          <t>JULES PASCIN</t>
        </is>
      </c>
      <c r="B474" s="2" t="inlineStr">
        <is>
          <t>bulgare</t>
        </is>
      </c>
      <c r="C474" s="2" t="inlineStr">
        <is>
          <t>peinture</t>
        </is>
      </c>
      <c r="D474" s="2" t="inlineStr">
        <is>
          <t>20e</t>
        </is>
      </c>
      <c r="U474">
        <f>IF(ISNUMBER(SEARCH("fran",B474)),"France",IF(OR(ISNUMBER(SEARCH("italien",B474)),ISNUMBER(SEARCH("espagn",B474)),ISNUMBER(SEARCH("catalan",B474)),ISNUMBER(SEARCH("flamand",B474)),ISNUMBER(SEARCH("belge",B474)),ISNUMBER(SEARCH("hollandais",B474)),ISNUMBER(SEARCH("néerlandais",B474)),ISNUMBER(SEARCH("allemand",B474)),ISNUMBER(SEARCH("autrichien",B474)),ISNUMBER(SEARCH("suisse",B474)),ISNUMBER(SEARCH("anglais",B474)),ISNUMBER(SEARCH("britannique",B474)),ISNUMBER(SEARCH("écossais",B474)),ISNUMBER(SEARCH("irlandais",B474)),ISNUMBER(SEARCH("russe",B474)),ISNUMBER(SEARCH("portugais",B474)),ISNUMBER(SEARCH("danois",B474)),ISNUMBER(SEARCH("norvégien",B474)),ISNUMBER(SEARCH("suédois",B474)),ISNUMBER(SEARCH("finlandais",B474)),ISNUMBER(SEARCH("polonais",B474)),ISNUMBER(SEARCH("tchèque",B474)),ISNUMBER(SEARCH("hongrois",B474)),ISNUMBER(SEARCH("grec",B474)),ISNUMBER(SEARCH("byzantin",B474)),ISNUMBER(SEARCH("croate",B474)),ISNUMBER(SEARCH("ukrainien",B474)),ISNUMBER(SEARCH("bulgare",B474)),ISNUMBER(SEARCH("biélorusse",B474)),ISNUMBER(SEARCH("maltais",B474))),"Autres pays d'Europe",IF(OR(ISNUMBER(SEARCH("américain",B474)),ISNUMBER(SEARCH("mexicain",B474)),ISNUMBER(SEARCH("canadien",B474)),ISNUMBER(SEARCH("brésilien",B474)),ISNUMBER(SEARCH("argentin",B474))),"Amérique",IF(OR(ISNUMBER(SEARCH("chinois",B474)),ISNUMBER(SEARCH("japonais",B474)),ISNUMBER(SEARCH("coréen",B474)),ISNUMBER(SEARCH("indien",B474)),ISNUMBER(SEARCH("persan",B474)),ISNUMBER(SEARCH("iranien",B474))),"Asie","(non classée)"))))</f>
        <v/>
      </c>
    </row>
    <row r="475">
      <c r="A475" s="2" t="inlineStr">
        <is>
          <t>JULIO GONZÁLEZ</t>
        </is>
      </c>
      <c r="B475" s="2" t="inlineStr">
        <is>
          <t>espagnole</t>
        </is>
      </c>
      <c r="C475" s="2" t="inlineStr">
        <is>
          <t>sculpture</t>
        </is>
      </c>
      <c r="D475" s="2" t="inlineStr">
        <is>
          <t>20e</t>
        </is>
      </c>
      <c r="U475">
        <f>IF(ISNUMBER(SEARCH("fran",B475)),"France",IF(OR(ISNUMBER(SEARCH("italien",B475)),ISNUMBER(SEARCH("espagn",B475)),ISNUMBER(SEARCH("catalan",B475)),ISNUMBER(SEARCH("flamand",B475)),ISNUMBER(SEARCH("belge",B475)),ISNUMBER(SEARCH("hollandais",B475)),ISNUMBER(SEARCH("néerlandais",B475)),ISNUMBER(SEARCH("allemand",B475)),ISNUMBER(SEARCH("autrichien",B475)),ISNUMBER(SEARCH("suisse",B475)),ISNUMBER(SEARCH("anglais",B475)),ISNUMBER(SEARCH("britannique",B475)),ISNUMBER(SEARCH("écossais",B475)),ISNUMBER(SEARCH("irlandais",B475)),ISNUMBER(SEARCH("russe",B475)),ISNUMBER(SEARCH("portugais",B475)),ISNUMBER(SEARCH("danois",B475)),ISNUMBER(SEARCH("norvégien",B475)),ISNUMBER(SEARCH("suédois",B475)),ISNUMBER(SEARCH("finlandais",B475)),ISNUMBER(SEARCH("polonais",B475)),ISNUMBER(SEARCH("tchèque",B475)),ISNUMBER(SEARCH("hongrois",B475)),ISNUMBER(SEARCH("grec",B475)),ISNUMBER(SEARCH("byzantin",B475)),ISNUMBER(SEARCH("croate",B475)),ISNUMBER(SEARCH("ukrainien",B475)),ISNUMBER(SEARCH("bulgare",B475)),ISNUMBER(SEARCH("biélorusse",B475)),ISNUMBER(SEARCH("maltais",B475))),"Autres pays d'Europe",IF(OR(ISNUMBER(SEARCH("américain",B475)),ISNUMBER(SEARCH("mexicain",B475)),ISNUMBER(SEARCH("canadien",B475)),ISNUMBER(SEARCH("brésilien",B475)),ISNUMBER(SEARCH("argentin",B475))),"Amérique",IF(OR(ISNUMBER(SEARCH("chinois",B475)),ISNUMBER(SEARCH("japonais",B475)),ISNUMBER(SEARCH("coréen",B475)),ISNUMBER(SEARCH("indien",B475)),ISNUMBER(SEARCH("persan",B475)),ISNUMBER(SEARCH("iranien",B475))),"Asie","(non classée)"))))</f>
        <v/>
      </c>
    </row>
    <row r="476">
      <c r="A476" s="2" t="inlineStr">
        <is>
          <t>JÉRÔME BOSCH (HIERONYMUS BOSCH)</t>
        </is>
      </c>
      <c r="B476" s="2" t="inlineStr">
        <is>
          <t>hollandaise (Pays-Bas)</t>
        </is>
      </c>
      <c r="C476" s="2" t="inlineStr">
        <is>
          <t>peinture</t>
        </is>
      </c>
      <c r="D476" s="2" t="inlineStr">
        <is>
          <t>15e</t>
        </is>
      </c>
      <c r="U476">
        <f>IF(ISNUMBER(SEARCH("fran",B476)),"France",IF(OR(ISNUMBER(SEARCH("italien",B476)),ISNUMBER(SEARCH("espagn",B476)),ISNUMBER(SEARCH("catalan",B476)),ISNUMBER(SEARCH("flamand",B476)),ISNUMBER(SEARCH("belge",B476)),ISNUMBER(SEARCH("hollandais",B476)),ISNUMBER(SEARCH("néerlandais",B476)),ISNUMBER(SEARCH("allemand",B476)),ISNUMBER(SEARCH("autrichien",B476)),ISNUMBER(SEARCH("suisse",B476)),ISNUMBER(SEARCH("anglais",B476)),ISNUMBER(SEARCH("britannique",B476)),ISNUMBER(SEARCH("écossais",B476)),ISNUMBER(SEARCH("irlandais",B476)),ISNUMBER(SEARCH("russe",B476)),ISNUMBER(SEARCH("portugais",B476)),ISNUMBER(SEARCH("danois",B476)),ISNUMBER(SEARCH("norvégien",B476)),ISNUMBER(SEARCH("suédois",B476)),ISNUMBER(SEARCH("finlandais",B476)),ISNUMBER(SEARCH("polonais",B476)),ISNUMBER(SEARCH("tchèque",B476)),ISNUMBER(SEARCH("hongrois",B476)),ISNUMBER(SEARCH("grec",B476)),ISNUMBER(SEARCH("byzantin",B476)),ISNUMBER(SEARCH("croate",B476)),ISNUMBER(SEARCH("ukrainien",B476)),ISNUMBER(SEARCH("bulgare",B476)),ISNUMBER(SEARCH("biélorusse",B476)),ISNUMBER(SEARCH("maltais",B476))),"Autres pays d'Europe",IF(OR(ISNUMBER(SEARCH("américain",B476)),ISNUMBER(SEARCH("mexicain",B476)),ISNUMBER(SEARCH("canadien",B476)),ISNUMBER(SEARCH("brésilien",B476)),ISNUMBER(SEARCH("argentin",B476))),"Amérique",IF(OR(ISNUMBER(SEARCH("chinois",B476)),ISNUMBER(SEARCH("japonais",B476)),ISNUMBER(SEARCH("coréen",B476)),ISNUMBER(SEARCH("indien",B476)),ISNUMBER(SEARCH("persan",B476)),ISNUMBER(SEARCH("iranien",B476))),"Asie","(non classée)"))))</f>
        <v/>
      </c>
    </row>
    <row r="477">
      <c r="A477" s="2" t="inlineStr">
        <is>
          <t>JÖRG ZÜRN</t>
        </is>
      </c>
      <c r="B477" s="2" t="inlineStr">
        <is>
          <t>allemande</t>
        </is>
      </c>
      <c r="C477" s="2" t="inlineStr">
        <is>
          <t>sculpture</t>
        </is>
      </c>
      <c r="D477" s="2" t="inlineStr">
        <is>
          <t>17e</t>
        </is>
      </c>
      <c r="U477">
        <f>IF(ISNUMBER(SEARCH("fran",B477)),"France",IF(OR(ISNUMBER(SEARCH("italien",B477)),ISNUMBER(SEARCH("espagn",B477)),ISNUMBER(SEARCH("catalan",B477)),ISNUMBER(SEARCH("flamand",B477)),ISNUMBER(SEARCH("belge",B477)),ISNUMBER(SEARCH("hollandais",B477)),ISNUMBER(SEARCH("néerlandais",B477)),ISNUMBER(SEARCH("allemand",B477)),ISNUMBER(SEARCH("autrichien",B477)),ISNUMBER(SEARCH("suisse",B477)),ISNUMBER(SEARCH("anglais",B477)),ISNUMBER(SEARCH("britannique",B477)),ISNUMBER(SEARCH("écossais",B477)),ISNUMBER(SEARCH("irlandais",B477)),ISNUMBER(SEARCH("russe",B477)),ISNUMBER(SEARCH("portugais",B477)),ISNUMBER(SEARCH("danois",B477)),ISNUMBER(SEARCH("norvégien",B477)),ISNUMBER(SEARCH("suédois",B477)),ISNUMBER(SEARCH("finlandais",B477)),ISNUMBER(SEARCH("polonais",B477)),ISNUMBER(SEARCH("tchèque",B477)),ISNUMBER(SEARCH("hongrois",B477)),ISNUMBER(SEARCH("grec",B477)),ISNUMBER(SEARCH("byzantin",B477)),ISNUMBER(SEARCH("croate",B477)),ISNUMBER(SEARCH("ukrainien",B477)),ISNUMBER(SEARCH("bulgare",B477)),ISNUMBER(SEARCH("biélorusse",B477)),ISNUMBER(SEARCH("maltais",B477))),"Autres pays d'Europe",IF(OR(ISNUMBER(SEARCH("américain",B477)),ISNUMBER(SEARCH("mexicain",B477)),ISNUMBER(SEARCH("canadien",B477)),ISNUMBER(SEARCH("brésilien",B477)),ISNUMBER(SEARCH("argentin",B477))),"Amérique",IF(OR(ISNUMBER(SEARCH("chinois",B477)),ISNUMBER(SEARCH("japonais",B477)),ISNUMBER(SEARCH("coréen",B477)),ISNUMBER(SEARCH("indien",B477)),ISNUMBER(SEARCH("persan",B477)),ISNUMBER(SEARCH("iranien",B477))),"Asie","(non classée)"))))</f>
        <v/>
      </c>
    </row>
    <row r="478">
      <c r="A478" s="2" t="inlineStr">
        <is>
          <t>KANŌ TAN'YŪ</t>
        </is>
      </c>
      <c r="B478" s="2" t="inlineStr">
        <is>
          <t>japonaise</t>
        </is>
      </c>
      <c r="C478" s="2" t="inlineStr">
        <is>
          <t>peinture</t>
        </is>
      </c>
      <c r="D478" s="2" t="inlineStr">
        <is>
          <t>17e</t>
        </is>
      </c>
      <c r="U478">
        <f>IF(ISNUMBER(SEARCH("fran",B478)),"France",IF(OR(ISNUMBER(SEARCH("italien",B478)),ISNUMBER(SEARCH("espagn",B478)),ISNUMBER(SEARCH("catalan",B478)),ISNUMBER(SEARCH("flamand",B478)),ISNUMBER(SEARCH("belge",B478)),ISNUMBER(SEARCH("hollandais",B478)),ISNUMBER(SEARCH("néerlandais",B478)),ISNUMBER(SEARCH("allemand",B478)),ISNUMBER(SEARCH("autrichien",B478)),ISNUMBER(SEARCH("suisse",B478)),ISNUMBER(SEARCH("anglais",B478)),ISNUMBER(SEARCH("britannique",B478)),ISNUMBER(SEARCH("écossais",B478)),ISNUMBER(SEARCH("irlandais",B478)),ISNUMBER(SEARCH("russe",B478)),ISNUMBER(SEARCH("portugais",B478)),ISNUMBER(SEARCH("danois",B478)),ISNUMBER(SEARCH("norvégien",B478)),ISNUMBER(SEARCH("suédois",B478)),ISNUMBER(SEARCH("finlandais",B478)),ISNUMBER(SEARCH("polonais",B478)),ISNUMBER(SEARCH("tchèque",B478)),ISNUMBER(SEARCH("hongrois",B478)),ISNUMBER(SEARCH("grec",B478)),ISNUMBER(SEARCH("byzantin",B478)),ISNUMBER(SEARCH("croate",B478)),ISNUMBER(SEARCH("ukrainien",B478)),ISNUMBER(SEARCH("bulgare",B478)),ISNUMBER(SEARCH("biélorusse",B478)),ISNUMBER(SEARCH("maltais",B478))),"Autres pays d'Europe",IF(OR(ISNUMBER(SEARCH("américain",B478)),ISNUMBER(SEARCH("mexicain",B478)),ISNUMBER(SEARCH("canadien",B478)),ISNUMBER(SEARCH("brésilien",B478)),ISNUMBER(SEARCH("argentin",B478))),"Amérique",IF(OR(ISNUMBER(SEARCH("chinois",B478)),ISNUMBER(SEARCH("japonais",B478)),ISNUMBER(SEARCH("coréen",B478)),ISNUMBER(SEARCH("indien",B478)),ISNUMBER(SEARCH("persan",B478)),ISNUMBER(SEARCH("iranien",B478))),"Asie","(non classée)"))))</f>
        <v/>
      </c>
    </row>
    <row r="479">
      <c r="A479" s="2" t="inlineStr">
        <is>
          <t>KARL BITTER</t>
        </is>
      </c>
      <c r="B479" s="2" t="inlineStr">
        <is>
          <t>autrichienne</t>
        </is>
      </c>
      <c r="C479" s="2" t="inlineStr">
        <is>
          <t>sculpture</t>
        </is>
      </c>
      <c r="D479" s="2" t="inlineStr">
        <is>
          <t>20e</t>
        </is>
      </c>
      <c r="U479">
        <f>IF(ISNUMBER(SEARCH("fran",B479)),"France",IF(OR(ISNUMBER(SEARCH("italien",B479)),ISNUMBER(SEARCH("espagn",B479)),ISNUMBER(SEARCH("catalan",B479)),ISNUMBER(SEARCH("flamand",B479)),ISNUMBER(SEARCH("belge",B479)),ISNUMBER(SEARCH("hollandais",B479)),ISNUMBER(SEARCH("néerlandais",B479)),ISNUMBER(SEARCH("allemand",B479)),ISNUMBER(SEARCH("autrichien",B479)),ISNUMBER(SEARCH("suisse",B479)),ISNUMBER(SEARCH("anglais",B479)),ISNUMBER(SEARCH("britannique",B479)),ISNUMBER(SEARCH("écossais",B479)),ISNUMBER(SEARCH("irlandais",B479)),ISNUMBER(SEARCH("russe",B479)),ISNUMBER(SEARCH("portugais",B479)),ISNUMBER(SEARCH("danois",B479)),ISNUMBER(SEARCH("norvégien",B479)),ISNUMBER(SEARCH("suédois",B479)),ISNUMBER(SEARCH("finlandais",B479)),ISNUMBER(SEARCH("polonais",B479)),ISNUMBER(SEARCH("tchèque",B479)),ISNUMBER(SEARCH("hongrois",B479)),ISNUMBER(SEARCH("grec",B479)),ISNUMBER(SEARCH("byzantin",B479)),ISNUMBER(SEARCH("croate",B479)),ISNUMBER(SEARCH("ukrainien",B479)),ISNUMBER(SEARCH("bulgare",B479)),ISNUMBER(SEARCH("biélorusse",B479)),ISNUMBER(SEARCH("maltais",B479))),"Autres pays d'Europe",IF(OR(ISNUMBER(SEARCH("américain",B479)),ISNUMBER(SEARCH("mexicain",B479)),ISNUMBER(SEARCH("canadien",B479)),ISNUMBER(SEARCH("brésilien",B479)),ISNUMBER(SEARCH("argentin",B479))),"Amérique",IF(OR(ISNUMBER(SEARCH("chinois",B479)),ISNUMBER(SEARCH("japonais",B479)),ISNUMBER(SEARCH("coréen",B479)),ISNUMBER(SEARCH("indien",B479)),ISNUMBER(SEARCH("persan",B479)),ISNUMBER(SEARCH("iranien",B479))),"Asie","(non classée)"))))</f>
        <v/>
      </c>
    </row>
    <row r="480">
      <c r="A480" s="2" t="inlineStr">
        <is>
          <t>KAZIMIR MALEVICH</t>
        </is>
      </c>
      <c r="B480" s="2" t="inlineStr">
        <is>
          <t>russe</t>
        </is>
      </c>
      <c r="C480" s="2" t="inlineStr">
        <is>
          <t>peinture</t>
        </is>
      </c>
      <c r="D480" s="2" t="inlineStr">
        <is>
          <t>20e</t>
        </is>
      </c>
      <c r="U480">
        <f>IF(ISNUMBER(SEARCH("fran",B480)),"France",IF(OR(ISNUMBER(SEARCH("italien",B480)),ISNUMBER(SEARCH("espagn",B480)),ISNUMBER(SEARCH("catalan",B480)),ISNUMBER(SEARCH("flamand",B480)),ISNUMBER(SEARCH("belge",B480)),ISNUMBER(SEARCH("hollandais",B480)),ISNUMBER(SEARCH("néerlandais",B480)),ISNUMBER(SEARCH("allemand",B480)),ISNUMBER(SEARCH("autrichien",B480)),ISNUMBER(SEARCH("suisse",B480)),ISNUMBER(SEARCH("anglais",B480)),ISNUMBER(SEARCH("britannique",B480)),ISNUMBER(SEARCH("écossais",B480)),ISNUMBER(SEARCH("irlandais",B480)),ISNUMBER(SEARCH("russe",B480)),ISNUMBER(SEARCH("portugais",B480)),ISNUMBER(SEARCH("danois",B480)),ISNUMBER(SEARCH("norvégien",B480)),ISNUMBER(SEARCH("suédois",B480)),ISNUMBER(SEARCH("finlandais",B480)),ISNUMBER(SEARCH("polonais",B480)),ISNUMBER(SEARCH("tchèque",B480)),ISNUMBER(SEARCH("hongrois",B480)),ISNUMBER(SEARCH("grec",B480)),ISNUMBER(SEARCH("byzantin",B480)),ISNUMBER(SEARCH("croate",B480)),ISNUMBER(SEARCH("ukrainien",B480)),ISNUMBER(SEARCH("bulgare",B480)),ISNUMBER(SEARCH("biélorusse",B480)),ISNUMBER(SEARCH("maltais",B480))),"Autres pays d'Europe",IF(OR(ISNUMBER(SEARCH("américain",B480)),ISNUMBER(SEARCH("mexicain",B480)),ISNUMBER(SEARCH("canadien",B480)),ISNUMBER(SEARCH("brésilien",B480)),ISNUMBER(SEARCH("argentin",B480))),"Amérique",IF(OR(ISNUMBER(SEARCH("chinois",B480)),ISNUMBER(SEARCH("japonais",B480)),ISNUMBER(SEARCH("coréen",B480)),ISNUMBER(SEARCH("indien",B480)),ISNUMBER(SEARCH("persan",B480)),ISNUMBER(SEARCH("iranien",B480))),"Asie","(non classée)"))))</f>
        <v/>
      </c>
    </row>
    <row r="481">
      <c r="A481" s="2" t="inlineStr">
        <is>
          <t>KAŌ NINGA</t>
        </is>
      </c>
      <c r="B481" s="2" t="inlineStr">
        <is>
          <t>japonaise</t>
        </is>
      </c>
      <c r="C481" s="2" t="inlineStr">
        <is>
          <t>peinture</t>
        </is>
      </c>
      <c r="D481" s="2" t="inlineStr">
        <is>
          <t>14e</t>
        </is>
      </c>
      <c r="U481">
        <f>IF(ISNUMBER(SEARCH("fran",B481)),"France",IF(OR(ISNUMBER(SEARCH("italien",B481)),ISNUMBER(SEARCH("espagn",B481)),ISNUMBER(SEARCH("catalan",B481)),ISNUMBER(SEARCH("flamand",B481)),ISNUMBER(SEARCH("belge",B481)),ISNUMBER(SEARCH("hollandais",B481)),ISNUMBER(SEARCH("néerlandais",B481)),ISNUMBER(SEARCH("allemand",B481)),ISNUMBER(SEARCH("autrichien",B481)),ISNUMBER(SEARCH("suisse",B481)),ISNUMBER(SEARCH("anglais",B481)),ISNUMBER(SEARCH("britannique",B481)),ISNUMBER(SEARCH("écossais",B481)),ISNUMBER(SEARCH("irlandais",B481)),ISNUMBER(SEARCH("russe",B481)),ISNUMBER(SEARCH("portugais",B481)),ISNUMBER(SEARCH("danois",B481)),ISNUMBER(SEARCH("norvégien",B481)),ISNUMBER(SEARCH("suédois",B481)),ISNUMBER(SEARCH("finlandais",B481)),ISNUMBER(SEARCH("polonais",B481)),ISNUMBER(SEARCH("tchèque",B481)),ISNUMBER(SEARCH("hongrois",B481)),ISNUMBER(SEARCH("grec",B481)),ISNUMBER(SEARCH("byzantin",B481)),ISNUMBER(SEARCH("croate",B481)),ISNUMBER(SEARCH("ukrainien",B481)),ISNUMBER(SEARCH("bulgare",B481)),ISNUMBER(SEARCH("biélorusse",B481)),ISNUMBER(SEARCH("maltais",B481))),"Autres pays d'Europe",IF(OR(ISNUMBER(SEARCH("américain",B481)),ISNUMBER(SEARCH("mexicain",B481)),ISNUMBER(SEARCH("canadien",B481)),ISNUMBER(SEARCH("brésilien",B481)),ISNUMBER(SEARCH("argentin",B481))),"Amérique",IF(OR(ISNUMBER(SEARCH("chinois",B481)),ISNUMBER(SEARCH("japonais",B481)),ISNUMBER(SEARCH("coréen",B481)),ISNUMBER(SEARCH("indien",B481)),ISNUMBER(SEARCH("persan",B481)),ISNUMBER(SEARCH("iranien",B481))),"Asie","(non classée)"))))</f>
        <v/>
      </c>
    </row>
    <row r="482">
      <c r="A482" s="2" t="inlineStr">
        <is>
          <t>KER-XAVIER ROUSSEL</t>
        </is>
      </c>
      <c r="B482" s="2" t="inlineStr">
        <is>
          <t>française</t>
        </is>
      </c>
      <c r="C482" s="2" t="inlineStr">
        <is>
          <t>peinture</t>
        </is>
      </c>
      <c r="D482" s="2" t="inlineStr">
        <is>
          <t>20e</t>
        </is>
      </c>
      <c r="U482">
        <f>IF(ISNUMBER(SEARCH("fran",B482)),"France",IF(OR(ISNUMBER(SEARCH("italien",B482)),ISNUMBER(SEARCH("espagn",B482)),ISNUMBER(SEARCH("catalan",B482)),ISNUMBER(SEARCH("flamand",B482)),ISNUMBER(SEARCH("belge",B482)),ISNUMBER(SEARCH("hollandais",B482)),ISNUMBER(SEARCH("néerlandais",B482)),ISNUMBER(SEARCH("allemand",B482)),ISNUMBER(SEARCH("autrichien",B482)),ISNUMBER(SEARCH("suisse",B482)),ISNUMBER(SEARCH("anglais",B482)),ISNUMBER(SEARCH("britannique",B482)),ISNUMBER(SEARCH("écossais",B482)),ISNUMBER(SEARCH("irlandais",B482)),ISNUMBER(SEARCH("russe",B482)),ISNUMBER(SEARCH("portugais",B482)),ISNUMBER(SEARCH("danois",B482)),ISNUMBER(SEARCH("norvégien",B482)),ISNUMBER(SEARCH("suédois",B482)),ISNUMBER(SEARCH("finlandais",B482)),ISNUMBER(SEARCH("polonais",B482)),ISNUMBER(SEARCH("tchèque",B482)),ISNUMBER(SEARCH("hongrois",B482)),ISNUMBER(SEARCH("grec",B482)),ISNUMBER(SEARCH("byzantin",B482)),ISNUMBER(SEARCH("croate",B482)),ISNUMBER(SEARCH("ukrainien",B482)),ISNUMBER(SEARCH("bulgare",B482)),ISNUMBER(SEARCH("biélorusse",B482)),ISNUMBER(SEARCH("maltais",B482))),"Autres pays d'Europe",IF(OR(ISNUMBER(SEARCH("américain",B482)),ISNUMBER(SEARCH("mexicain",B482)),ISNUMBER(SEARCH("canadien",B482)),ISNUMBER(SEARCH("brésilien",B482)),ISNUMBER(SEARCH("argentin",B482))),"Amérique",IF(OR(ISNUMBER(SEARCH("chinois",B482)),ISNUMBER(SEARCH("japonais",B482)),ISNUMBER(SEARCH("coréen",B482)),ISNUMBER(SEARCH("indien",B482)),ISNUMBER(SEARCH("persan",B482)),ISNUMBER(SEARCH("iranien",B482))),"Asie","(non classée)"))))</f>
        <v/>
      </c>
    </row>
    <row r="483">
      <c r="A483" s="2" t="inlineStr">
        <is>
          <t>KONRAD WITZ</t>
        </is>
      </c>
      <c r="B483" s="2" t="inlineStr">
        <is>
          <t>suisse</t>
        </is>
      </c>
      <c r="C483" s="2" t="inlineStr">
        <is>
          <t>peinture</t>
        </is>
      </c>
      <c r="D483" s="2" t="inlineStr">
        <is>
          <t>15e</t>
        </is>
      </c>
      <c r="U483">
        <f>IF(ISNUMBER(SEARCH("fran",B483)),"France",IF(OR(ISNUMBER(SEARCH("italien",B483)),ISNUMBER(SEARCH("espagn",B483)),ISNUMBER(SEARCH("catalan",B483)),ISNUMBER(SEARCH("flamand",B483)),ISNUMBER(SEARCH("belge",B483)),ISNUMBER(SEARCH("hollandais",B483)),ISNUMBER(SEARCH("néerlandais",B483)),ISNUMBER(SEARCH("allemand",B483)),ISNUMBER(SEARCH("autrichien",B483)),ISNUMBER(SEARCH("suisse",B483)),ISNUMBER(SEARCH("anglais",B483)),ISNUMBER(SEARCH("britannique",B483)),ISNUMBER(SEARCH("écossais",B483)),ISNUMBER(SEARCH("irlandais",B483)),ISNUMBER(SEARCH("russe",B483)),ISNUMBER(SEARCH("portugais",B483)),ISNUMBER(SEARCH("danois",B483)),ISNUMBER(SEARCH("norvégien",B483)),ISNUMBER(SEARCH("suédois",B483)),ISNUMBER(SEARCH("finlandais",B483)),ISNUMBER(SEARCH("polonais",B483)),ISNUMBER(SEARCH("tchèque",B483)),ISNUMBER(SEARCH("hongrois",B483)),ISNUMBER(SEARCH("grec",B483)),ISNUMBER(SEARCH("byzantin",B483)),ISNUMBER(SEARCH("croate",B483)),ISNUMBER(SEARCH("ukrainien",B483)),ISNUMBER(SEARCH("bulgare",B483)),ISNUMBER(SEARCH("biélorusse",B483)),ISNUMBER(SEARCH("maltais",B483))),"Autres pays d'Europe",IF(OR(ISNUMBER(SEARCH("américain",B483)),ISNUMBER(SEARCH("mexicain",B483)),ISNUMBER(SEARCH("canadien",B483)),ISNUMBER(SEARCH("brésilien",B483)),ISNUMBER(SEARCH("argentin",B483))),"Amérique",IF(OR(ISNUMBER(SEARCH("chinois",B483)),ISNUMBER(SEARCH("japonais",B483)),ISNUMBER(SEARCH("coréen",B483)),ISNUMBER(SEARCH("indien",B483)),ISNUMBER(SEARCH("persan",B483)),ISNUMBER(SEARCH("iranien",B483))),"Asie","(non classée)"))))</f>
        <v/>
      </c>
    </row>
    <row r="484">
      <c r="A484" s="2" t="inlineStr">
        <is>
          <t>KÄTHE KOLLWITZ</t>
        </is>
      </c>
      <c r="B484" s="2" t="inlineStr">
        <is>
          <t>allemande</t>
        </is>
      </c>
      <c r="C484" s="2" t="inlineStr">
        <is>
          <t>sculpture</t>
        </is>
      </c>
      <c r="D484" s="2" t="inlineStr">
        <is>
          <t>20e</t>
        </is>
      </c>
      <c r="U484">
        <f>IF(ISNUMBER(SEARCH("fran",B484)),"France",IF(OR(ISNUMBER(SEARCH("italien",B484)),ISNUMBER(SEARCH("espagn",B484)),ISNUMBER(SEARCH("catalan",B484)),ISNUMBER(SEARCH("flamand",B484)),ISNUMBER(SEARCH("belge",B484)),ISNUMBER(SEARCH("hollandais",B484)),ISNUMBER(SEARCH("néerlandais",B484)),ISNUMBER(SEARCH("allemand",B484)),ISNUMBER(SEARCH("autrichien",B484)),ISNUMBER(SEARCH("suisse",B484)),ISNUMBER(SEARCH("anglais",B484)),ISNUMBER(SEARCH("britannique",B484)),ISNUMBER(SEARCH("écossais",B484)),ISNUMBER(SEARCH("irlandais",B484)),ISNUMBER(SEARCH("russe",B484)),ISNUMBER(SEARCH("portugais",B484)),ISNUMBER(SEARCH("danois",B484)),ISNUMBER(SEARCH("norvégien",B484)),ISNUMBER(SEARCH("suédois",B484)),ISNUMBER(SEARCH("finlandais",B484)),ISNUMBER(SEARCH("polonais",B484)),ISNUMBER(SEARCH("tchèque",B484)),ISNUMBER(SEARCH("hongrois",B484)),ISNUMBER(SEARCH("grec",B484)),ISNUMBER(SEARCH("byzantin",B484)),ISNUMBER(SEARCH("croate",B484)),ISNUMBER(SEARCH("ukrainien",B484)),ISNUMBER(SEARCH("bulgare",B484)),ISNUMBER(SEARCH("biélorusse",B484)),ISNUMBER(SEARCH("maltais",B484))),"Autres pays d'Europe",IF(OR(ISNUMBER(SEARCH("américain",B484)),ISNUMBER(SEARCH("mexicain",B484)),ISNUMBER(SEARCH("canadien",B484)),ISNUMBER(SEARCH("brésilien",B484)),ISNUMBER(SEARCH("argentin",B484))),"Amérique",IF(OR(ISNUMBER(SEARCH("chinois",B484)),ISNUMBER(SEARCH("japonais",B484)),ISNUMBER(SEARCH("coréen",B484)),ISNUMBER(SEARCH("indien",B484)),ISNUMBER(SEARCH("persan",B484)),ISNUMBER(SEARCH("iranien",B484))),"Asie","(non classée)"))))</f>
        <v/>
      </c>
    </row>
    <row r="485">
      <c r="A485" s="2" t="inlineStr">
        <is>
          <t>LE TINTORET</t>
        </is>
      </c>
      <c r="B485" s="2" t="inlineStr">
        <is>
          <t>italienne</t>
        </is>
      </c>
      <c r="C485" s="2" t="inlineStr">
        <is>
          <t>peinture</t>
        </is>
      </c>
      <c r="D485" s="2" t="inlineStr">
        <is>
          <t>16e</t>
        </is>
      </c>
      <c r="U485">
        <f>IF(ISNUMBER(SEARCH("fran",B485)),"France",IF(OR(ISNUMBER(SEARCH("italien",B485)),ISNUMBER(SEARCH("espagn",B485)),ISNUMBER(SEARCH("catalan",B485)),ISNUMBER(SEARCH("flamand",B485)),ISNUMBER(SEARCH("belge",B485)),ISNUMBER(SEARCH("hollandais",B485)),ISNUMBER(SEARCH("néerlandais",B485)),ISNUMBER(SEARCH("allemand",B485)),ISNUMBER(SEARCH("autrichien",B485)),ISNUMBER(SEARCH("suisse",B485)),ISNUMBER(SEARCH("anglais",B485)),ISNUMBER(SEARCH("britannique",B485)),ISNUMBER(SEARCH("écossais",B485)),ISNUMBER(SEARCH("irlandais",B485)),ISNUMBER(SEARCH("russe",B485)),ISNUMBER(SEARCH("portugais",B485)),ISNUMBER(SEARCH("danois",B485)),ISNUMBER(SEARCH("norvégien",B485)),ISNUMBER(SEARCH("suédois",B485)),ISNUMBER(SEARCH("finlandais",B485)),ISNUMBER(SEARCH("polonais",B485)),ISNUMBER(SEARCH("tchèque",B485)),ISNUMBER(SEARCH("hongrois",B485)),ISNUMBER(SEARCH("grec",B485)),ISNUMBER(SEARCH("byzantin",B485)),ISNUMBER(SEARCH("croate",B485)),ISNUMBER(SEARCH("ukrainien",B485)),ISNUMBER(SEARCH("bulgare",B485)),ISNUMBER(SEARCH("biélorusse",B485)),ISNUMBER(SEARCH("maltais",B485))),"Autres pays d'Europe",IF(OR(ISNUMBER(SEARCH("américain",B485)),ISNUMBER(SEARCH("mexicain",B485)),ISNUMBER(SEARCH("canadien",B485)),ISNUMBER(SEARCH("brésilien",B485)),ISNUMBER(SEARCH("argentin",B485))),"Amérique",IF(OR(ISNUMBER(SEARCH("chinois",B485)),ISNUMBER(SEARCH("japonais",B485)),ISNUMBER(SEARCH("coréen",B485)),ISNUMBER(SEARCH("indien",B485)),ISNUMBER(SEARCH("persan",B485)),ISNUMBER(SEARCH("iranien",B485))),"Asie","(non classée)"))))</f>
        <v/>
      </c>
    </row>
    <row r="486">
      <c r="A486" s="2" t="inlineStr">
        <is>
          <t>LAMBERT-SIGISBERT ADAM</t>
        </is>
      </c>
      <c r="B486" s="2" t="inlineStr">
        <is>
          <t>française</t>
        </is>
      </c>
      <c r="C486" s="2" t="inlineStr">
        <is>
          <t>sculpture</t>
        </is>
      </c>
      <c r="D486" s="2" t="inlineStr">
        <is>
          <t>18e</t>
        </is>
      </c>
      <c r="U486">
        <f>IF(ISNUMBER(SEARCH("fran",B486)),"France",IF(OR(ISNUMBER(SEARCH("italien",B486)),ISNUMBER(SEARCH("espagn",B486)),ISNUMBER(SEARCH("catalan",B486)),ISNUMBER(SEARCH("flamand",B486)),ISNUMBER(SEARCH("belge",B486)),ISNUMBER(SEARCH("hollandais",B486)),ISNUMBER(SEARCH("néerlandais",B486)),ISNUMBER(SEARCH("allemand",B486)),ISNUMBER(SEARCH("autrichien",B486)),ISNUMBER(SEARCH("suisse",B486)),ISNUMBER(SEARCH("anglais",B486)),ISNUMBER(SEARCH("britannique",B486)),ISNUMBER(SEARCH("écossais",B486)),ISNUMBER(SEARCH("irlandais",B486)),ISNUMBER(SEARCH("russe",B486)),ISNUMBER(SEARCH("portugais",B486)),ISNUMBER(SEARCH("danois",B486)),ISNUMBER(SEARCH("norvégien",B486)),ISNUMBER(SEARCH("suédois",B486)),ISNUMBER(SEARCH("finlandais",B486)),ISNUMBER(SEARCH("polonais",B486)),ISNUMBER(SEARCH("tchèque",B486)),ISNUMBER(SEARCH("hongrois",B486)),ISNUMBER(SEARCH("grec",B486)),ISNUMBER(SEARCH("byzantin",B486)),ISNUMBER(SEARCH("croate",B486)),ISNUMBER(SEARCH("ukrainien",B486)),ISNUMBER(SEARCH("bulgare",B486)),ISNUMBER(SEARCH("biélorusse",B486)),ISNUMBER(SEARCH("maltais",B486))),"Autres pays d'Europe",IF(OR(ISNUMBER(SEARCH("américain",B486)),ISNUMBER(SEARCH("mexicain",B486)),ISNUMBER(SEARCH("canadien",B486)),ISNUMBER(SEARCH("brésilien",B486)),ISNUMBER(SEARCH("argentin",B486))),"Amérique",IF(OR(ISNUMBER(SEARCH("chinois",B486)),ISNUMBER(SEARCH("japonais",B486)),ISNUMBER(SEARCH("coréen",B486)),ISNUMBER(SEARCH("indien",B486)),ISNUMBER(SEARCH("persan",B486)),ISNUMBER(SEARCH("iranien",B486))),"Asie","(non classée)"))))</f>
        <v/>
      </c>
    </row>
    <row r="487">
      <c r="A487" s="2" t="inlineStr">
        <is>
          <t>LAVINIA FONTANA</t>
        </is>
      </c>
      <c r="B487" s="2" t="inlineStr">
        <is>
          <t>italienne</t>
        </is>
      </c>
      <c r="C487" s="2" t="inlineStr">
        <is>
          <t>peinture</t>
        </is>
      </c>
      <c r="D487" s="2" t="inlineStr">
        <is>
          <t>16e</t>
        </is>
      </c>
      <c r="U487">
        <f>IF(ISNUMBER(SEARCH("fran",B487)),"France",IF(OR(ISNUMBER(SEARCH("italien",B487)),ISNUMBER(SEARCH("espagn",B487)),ISNUMBER(SEARCH("catalan",B487)),ISNUMBER(SEARCH("flamand",B487)),ISNUMBER(SEARCH("belge",B487)),ISNUMBER(SEARCH("hollandais",B487)),ISNUMBER(SEARCH("néerlandais",B487)),ISNUMBER(SEARCH("allemand",B487)),ISNUMBER(SEARCH("autrichien",B487)),ISNUMBER(SEARCH("suisse",B487)),ISNUMBER(SEARCH("anglais",B487)),ISNUMBER(SEARCH("britannique",B487)),ISNUMBER(SEARCH("écossais",B487)),ISNUMBER(SEARCH("irlandais",B487)),ISNUMBER(SEARCH("russe",B487)),ISNUMBER(SEARCH("portugais",B487)),ISNUMBER(SEARCH("danois",B487)),ISNUMBER(SEARCH("norvégien",B487)),ISNUMBER(SEARCH("suédois",B487)),ISNUMBER(SEARCH("finlandais",B487)),ISNUMBER(SEARCH("polonais",B487)),ISNUMBER(SEARCH("tchèque",B487)),ISNUMBER(SEARCH("hongrois",B487)),ISNUMBER(SEARCH("grec",B487)),ISNUMBER(SEARCH("byzantin",B487)),ISNUMBER(SEARCH("croate",B487)),ISNUMBER(SEARCH("ukrainien",B487)),ISNUMBER(SEARCH("bulgare",B487)),ISNUMBER(SEARCH("biélorusse",B487)),ISNUMBER(SEARCH("maltais",B487))),"Autres pays d'Europe",IF(OR(ISNUMBER(SEARCH("américain",B487)),ISNUMBER(SEARCH("mexicain",B487)),ISNUMBER(SEARCH("canadien",B487)),ISNUMBER(SEARCH("brésilien",B487)),ISNUMBER(SEARCH("argentin",B487))),"Amérique",IF(OR(ISNUMBER(SEARCH("chinois",B487)),ISNUMBER(SEARCH("japonais",B487)),ISNUMBER(SEARCH("coréen",B487)),ISNUMBER(SEARCH("indien",B487)),ISNUMBER(SEARCH("persan",B487)),ISNUMBER(SEARCH("iranien",B487))),"Asie","(non classée)"))))</f>
        <v/>
      </c>
    </row>
    <row r="488">
      <c r="A488" s="2" t="inlineStr">
        <is>
          <t>LE PARMESAN (PARMIGIANINO)</t>
        </is>
      </c>
      <c r="B488" s="2" t="inlineStr">
        <is>
          <t>italienne</t>
        </is>
      </c>
      <c r="C488" s="2" t="inlineStr">
        <is>
          <t>peinture</t>
        </is>
      </c>
      <c r="D488" s="2" t="inlineStr">
        <is>
          <t>16e</t>
        </is>
      </c>
      <c r="U488">
        <f>IF(ISNUMBER(SEARCH("fran",B488)),"France",IF(OR(ISNUMBER(SEARCH("italien",B488)),ISNUMBER(SEARCH("espagn",B488)),ISNUMBER(SEARCH("catalan",B488)),ISNUMBER(SEARCH("flamand",B488)),ISNUMBER(SEARCH("belge",B488)),ISNUMBER(SEARCH("hollandais",B488)),ISNUMBER(SEARCH("néerlandais",B488)),ISNUMBER(SEARCH("allemand",B488)),ISNUMBER(SEARCH("autrichien",B488)),ISNUMBER(SEARCH("suisse",B488)),ISNUMBER(SEARCH("anglais",B488)),ISNUMBER(SEARCH("britannique",B488)),ISNUMBER(SEARCH("écossais",B488)),ISNUMBER(SEARCH("irlandais",B488)),ISNUMBER(SEARCH("russe",B488)),ISNUMBER(SEARCH("portugais",B488)),ISNUMBER(SEARCH("danois",B488)),ISNUMBER(SEARCH("norvégien",B488)),ISNUMBER(SEARCH("suédois",B488)),ISNUMBER(SEARCH("finlandais",B488)),ISNUMBER(SEARCH("polonais",B488)),ISNUMBER(SEARCH("tchèque",B488)),ISNUMBER(SEARCH("hongrois",B488)),ISNUMBER(SEARCH("grec",B488)),ISNUMBER(SEARCH("byzantin",B488)),ISNUMBER(SEARCH("croate",B488)),ISNUMBER(SEARCH("ukrainien",B488)),ISNUMBER(SEARCH("bulgare",B488)),ISNUMBER(SEARCH("biélorusse",B488)),ISNUMBER(SEARCH("maltais",B488))),"Autres pays d'Europe",IF(OR(ISNUMBER(SEARCH("américain",B488)),ISNUMBER(SEARCH("mexicain",B488)),ISNUMBER(SEARCH("canadien",B488)),ISNUMBER(SEARCH("brésilien",B488)),ISNUMBER(SEARCH("argentin",B488))),"Amérique",IF(OR(ISNUMBER(SEARCH("chinois",B488)),ISNUMBER(SEARCH("japonais",B488)),ISNUMBER(SEARCH("coréen",B488)),ISNUMBER(SEARCH("indien",B488)),ISNUMBER(SEARCH("persan",B488)),ISNUMBER(SEARCH("iranien",B488))),"Asie","(non classée)"))))</f>
        <v/>
      </c>
    </row>
    <row r="489">
      <c r="A489" s="2" t="inlineStr">
        <is>
          <t>LEONARD DE VINCI</t>
        </is>
      </c>
      <c r="B489" s="2" t="inlineStr">
        <is>
          <t>italienne</t>
        </is>
      </c>
      <c r="C489" s="2" t="inlineStr">
        <is>
          <t>peinture</t>
        </is>
      </c>
      <c r="D489" s="2" t="inlineStr">
        <is>
          <t>15e</t>
        </is>
      </c>
      <c r="U489">
        <f>IF(ISNUMBER(SEARCH("fran",B489)),"France",IF(OR(ISNUMBER(SEARCH("italien",B489)),ISNUMBER(SEARCH("espagn",B489)),ISNUMBER(SEARCH("catalan",B489)),ISNUMBER(SEARCH("flamand",B489)),ISNUMBER(SEARCH("belge",B489)),ISNUMBER(SEARCH("hollandais",B489)),ISNUMBER(SEARCH("néerlandais",B489)),ISNUMBER(SEARCH("allemand",B489)),ISNUMBER(SEARCH("autrichien",B489)),ISNUMBER(SEARCH("suisse",B489)),ISNUMBER(SEARCH("anglais",B489)),ISNUMBER(SEARCH("britannique",B489)),ISNUMBER(SEARCH("écossais",B489)),ISNUMBER(SEARCH("irlandais",B489)),ISNUMBER(SEARCH("russe",B489)),ISNUMBER(SEARCH("portugais",B489)),ISNUMBER(SEARCH("danois",B489)),ISNUMBER(SEARCH("norvégien",B489)),ISNUMBER(SEARCH("suédois",B489)),ISNUMBER(SEARCH("finlandais",B489)),ISNUMBER(SEARCH("polonais",B489)),ISNUMBER(SEARCH("tchèque",B489)),ISNUMBER(SEARCH("hongrois",B489)),ISNUMBER(SEARCH("grec",B489)),ISNUMBER(SEARCH("byzantin",B489)),ISNUMBER(SEARCH("croate",B489)),ISNUMBER(SEARCH("ukrainien",B489)),ISNUMBER(SEARCH("bulgare",B489)),ISNUMBER(SEARCH("biélorusse",B489)),ISNUMBER(SEARCH("maltais",B489))),"Autres pays d'Europe",IF(OR(ISNUMBER(SEARCH("américain",B489)),ISNUMBER(SEARCH("mexicain",B489)),ISNUMBER(SEARCH("canadien",B489)),ISNUMBER(SEARCH("brésilien",B489)),ISNUMBER(SEARCH("argentin",B489))),"Amérique",IF(OR(ISNUMBER(SEARCH("chinois",B489)),ISNUMBER(SEARCH("japonais",B489)),ISNUMBER(SEARCH("coréen",B489)),ISNUMBER(SEARCH("indien",B489)),ISNUMBER(SEARCH("persan",B489)),ISNUMBER(SEARCH("iranien",B489))),"Asie","(non classée)"))))</f>
        <v/>
      </c>
    </row>
    <row r="490">
      <c r="A490" s="2" t="inlineStr">
        <is>
          <t>LEONE LEONI</t>
        </is>
      </c>
      <c r="B490" s="2" t="inlineStr">
        <is>
          <t>italienne</t>
        </is>
      </c>
      <c r="C490" s="2" t="inlineStr">
        <is>
          <t>sculpture</t>
        </is>
      </c>
      <c r="D490" s="2" t="inlineStr">
        <is>
          <t>16e</t>
        </is>
      </c>
      <c r="U490">
        <f>IF(ISNUMBER(SEARCH("fran",B490)),"France",IF(OR(ISNUMBER(SEARCH("italien",B490)),ISNUMBER(SEARCH("espagn",B490)),ISNUMBER(SEARCH("catalan",B490)),ISNUMBER(SEARCH("flamand",B490)),ISNUMBER(SEARCH("belge",B490)),ISNUMBER(SEARCH("hollandais",B490)),ISNUMBER(SEARCH("néerlandais",B490)),ISNUMBER(SEARCH("allemand",B490)),ISNUMBER(SEARCH("autrichien",B490)),ISNUMBER(SEARCH("suisse",B490)),ISNUMBER(SEARCH("anglais",B490)),ISNUMBER(SEARCH("britannique",B490)),ISNUMBER(SEARCH("écossais",B490)),ISNUMBER(SEARCH("irlandais",B490)),ISNUMBER(SEARCH("russe",B490)),ISNUMBER(SEARCH("portugais",B490)),ISNUMBER(SEARCH("danois",B490)),ISNUMBER(SEARCH("norvégien",B490)),ISNUMBER(SEARCH("suédois",B490)),ISNUMBER(SEARCH("finlandais",B490)),ISNUMBER(SEARCH("polonais",B490)),ISNUMBER(SEARCH("tchèque",B490)),ISNUMBER(SEARCH("hongrois",B490)),ISNUMBER(SEARCH("grec",B490)),ISNUMBER(SEARCH("byzantin",B490)),ISNUMBER(SEARCH("croate",B490)),ISNUMBER(SEARCH("ukrainien",B490)),ISNUMBER(SEARCH("bulgare",B490)),ISNUMBER(SEARCH("biélorusse",B490)),ISNUMBER(SEARCH("maltais",B490))),"Autres pays d'Europe",IF(OR(ISNUMBER(SEARCH("américain",B490)),ISNUMBER(SEARCH("mexicain",B490)),ISNUMBER(SEARCH("canadien",B490)),ISNUMBER(SEARCH("brésilien",B490)),ISNUMBER(SEARCH("argentin",B490))),"Amérique",IF(OR(ISNUMBER(SEARCH("chinois",B490)),ISNUMBER(SEARCH("japonais",B490)),ISNUMBER(SEARCH("coréen",B490)),ISNUMBER(SEARCH("indien",B490)),ISNUMBER(SEARCH("persan",B490)),ISNUMBER(SEARCH("iranien",B490))),"Asie","(non classée)"))))</f>
        <v/>
      </c>
    </row>
    <row r="491">
      <c r="A491" s="2" t="inlineStr">
        <is>
          <t>LIGIER RICHIER</t>
        </is>
      </c>
      <c r="B491" s="2" t="inlineStr">
        <is>
          <t>française</t>
        </is>
      </c>
      <c r="C491" s="2" t="inlineStr">
        <is>
          <t>sculpture</t>
        </is>
      </c>
      <c r="D491" s="2" t="inlineStr">
        <is>
          <t>16e</t>
        </is>
      </c>
      <c r="U491">
        <f>IF(ISNUMBER(SEARCH("fran",B491)),"France",IF(OR(ISNUMBER(SEARCH("italien",B491)),ISNUMBER(SEARCH("espagn",B491)),ISNUMBER(SEARCH("catalan",B491)),ISNUMBER(SEARCH("flamand",B491)),ISNUMBER(SEARCH("belge",B491)),ISNUMBER(SEARCH("hollandais",B491)),ISNUMBER(SEARCH("néerlandais",B491)),ISNUMBER(SEARCH("allemand",B491)),ISNUMBER(SEARCH("autrichien",B491)),ISNUMBER(SEARCH("suisse",B491)),ISNUMBER(SEARCH("anglais",B491)),ISNUMBER(SEARCH("britannique",B491)),ISNUMBER(SEARCH("écossais",B491)),ISNUMBER(SEARCH("irlandais",B491)),ISNUMBER(SEARCH("russe",B491)),ISNUMBER(SEARCH("portugais",B491)),ISNUMBER(SEARCH("danois",B491)),ISNUMBER(SEARCH("norvégien",B491)),ISNUMBER(SEARCH("suédois",B491)),ISNUMBER(SEARCH("finlandais",B491)),ISNUMBER(SEARCH("polonais",B491)),ISNUMBER(SEARCH("tchèque",B491)),ISNUMBER(SEARCH("hongrois",B491)),ISNUMBER(SEARCH("grec",B491)),ISNUMBER(SEARCH("byzantin",B491)),ISNUMBER(SEARCH("croate",B491)),ISNUMBER(SEARCH("ukrainien",B491)),ISNUMBER(SEARCH("bulgare",B491)),ISNUMBER(SEARCH("biélorusse",B491)),ISNUMBER(SEARCH("maltais",B491))),"Autres pays d'Europe",IF(OR(ISNUMBER(SEARCH("américain",B491)),ISNUMBER(SEARCH("mexicain",B491)),ISNUMBER(SEARCH("canadien",B491)),ISNUMBER(SEARCH("brésilien",B491)),ISNUMBER(SEARCH("argentin",B491))),"Amérique",IF(OR(ISNUMBER(SEARCH("chinois",B491)),ISNUMBER(SEARCH("japonais",B491)),ISNUMBER(SEARCH("coréen",B491)),ISNUMBER(SEARCH("indien",B491)),ISNUMBER(SEARCH("persan",B491)),ISNUMBER(SEARCH("iranien",B491))),"Asie","(non classée)"))))</f>
        <v/>
      </c>
    </row>
    <row r="492">
      <c r="A492" s="2" t="inlineStr">
        <is>
          <t>LIPPO MEMMI</t>
        </is>
      </c>
      <c r="B492" s="2" t="inlineStr">
        <is>
          <t>italienne</t>
        </is>
      </c>
      <c r="C492" s="2" t="inlineStr">
        <is>
          <t>peinture</t>
        </is>
      </c>
      <c r="D492" s="2" t="inlineStr">
        <is>
          <t>14e</t>
        </is>
      </c>
      <c r="U492">
        <f>IF(ISNUMBER(SEARCH("fran",B492)),"France",IF(OR(ISNUMBER(SEARCH("italien",B492)),ISNUMBER(SEARCH("espagn",B492)),ISNUMBER(SEARCH("catalan",B492)),ISNUMBER(SEARCH("flamand",B492)),ISNUMBER(SEARCH("belge",B492)),ISNUMBER(SEARCH("hollandais",B492)),ISNUMBER(SEARCH("néerlandais",B492)),ISNUMBER(SEARCH("allemand",B492)),ISNUMBER(SEARCH("autrichien",B492)),ISNUMBER(SEARCH("suisse",B492)),ISNUMBER(SEARCH("anglais",B492)),ISNUMBER(SEARCH("britannique",B492)),ISNUMBER(SEARCH("écossais",B492)),ISNUMBER(SEARCH("irlandais",B492)),ISNUMBER(SEARCH("russe",B492)),ISNUMBER(SEARCH("portugais",B492)),ISNUMBER(SEARCH("danois",B492)),ISNUMBER(SEARCH("norvégien",B492)),ISNUMBER(SEARCH("suédois",B492)),ISNUMBER(SEARCH("finlandais",B492)),ISNUMBER(SEARCH("polonais",B492)),ISNUMBER(SEARCH("tchèque",B492)),ISNUMBER(SEARCH("hongrois",B492)),ISNUMBER(SEARCH("grec",B492)),ISNUMBER(SEARCH("byzantin",B492)),ISNUMBER(SEARCH("croate",B492)),ISNUMBER(SEARCH("ukrainien",B492)),ISNUMBER(SEARCH("bulgare",B492)),ISNUMBER(SEARCH("biélorusse",B492)),ISNUMBER(SEARCH("maltais",B492))),"Autres pays d'Europe",IF(OR(ISNUMBER(SEARCH("américain",B492)),ISNUMBER(SEARCH("mexicain",B492)),ISNUMBER(SEARCH("canadien",B492)),ISNUMBER(SEARCH("brésilien",B492)),ISNUMBER(SEARCH("argentin",B492))),"Amérique",IF(OR(ISNUMBER(SEARCH("chinois",B492)),ISNUMBER(SEARCH("japonais",B492)),ISNUMBER(SEARCH("coréen",B492)),ISNUMBER(SEARCH("indien",B492)),ISNUMBER(SEARCH("persan",B492)),ISNUMBER(SEARCH("iranien",B492))),"Asie","(non classée)"))))</f>
        <v/>
      </c>
    </row>
    <row r="493">
      <c r="A493" s="2" t="inlineStr">
        <is>
          <t>LORADO TAFT</t>
        </is>
      </c>
      <c r="B493" s="2" t="inlineStr">
        <is>
          <t>américaine</t>
        </is>
      </c>
      <c r="C493" s="2" t="inlineStr">
        <is>
          <t>sculpture</t>
        </is>
      </c>
      <c r="D493" s="2" t="inlineStr">
        <is>
          <t>20e</t>
        </is>
      </c>
      <c r="U493">
        <f>IF(ISNUMBER(SEARCH("fran",B493)),"France",IF(OR(ISNUMBER(SEARCH("italien",B493)),ISNUMBER(SEARCH("espagn",B493)),ISNUMBER(SEARCH("catalan",B493)),ISNUMBER(SEARCH("flamand",B493)),ISNUMBER(SEARCH("belge",B493)),ISNUMBER(SEARCH("hollandais",B493)),ISNUMBER(SEARCH("néerlandais",B493)),ISNUMBER(SEARCH("allemand",B493)),ISNUMBER(SEARCH("autrichien",B493)),ISNUMBER(SEARCH("suisse",B493)),ISNUMBER(SEARCH("anglais",B493)),ISNUMBER(SEARCH("britannique",B493)),ISNUMBER(SEARCH("écossais",B493)),ISNUMBER(SEARCH("irlandais",B493)),ISNUMBER(SEARCH("russe",B493)),ISNUMBER(SEARCH("portugais",B493)),ISNUMBER(SEARCH("danois",B493)),ISNUMBER(SEARCH("norvégien",B493)),ISNUMBER(SEARCH("suédois",B493)),ISNUMBER(SEARCH("finlandais",B493)),ISNUMBER(SEARCH("polonais",B493)),ISNUMBER(SEARCH("tchèque",B493)),ISNUMBER(SEARCH("hongrois",B493)),ISNUMBER(SEARCH("grec",B493)),ISNUMBER(SEARCH("byzantin",B493)),ISNUMBER(SEARCH("croate",B493)),ISNUMBER(SEARCH("ukrainien",B493)),ISNUMBER(SEARCH("bulgare",B493)),ISNUMBER(SEARCH("biélorusse",B493)),ISNUMBER(SEARCH("maltais",B493))),"Autres pays d'Europe",IF(OR(ISNUMBER(SEARCH("américain",B493)),ISNUMBER(SEARCH("mexicain",B493)),ISNUMBER(SEARCH("canadien",B493)),ISNUMBER(SEARCH("brésilien",B493)),ISNUMBER(SEARCH("argentin",B493))),"Amérique",IF(OR(ISNUMBER(SEARCH("chinois",B493)),ISNUMBER(SEARCH("japonais",B493)),ISNUMBER(SEARCH("coréen",B493)),ISNUMBER(SEARCH("indien",B493)),ISNUMBER(SEARCH("persan",B493)),ISNUMBER(SEARCH("iranien",B493))),"Asie","(non classée)"))))</f>
        <v/>
      </c>
    </row>
    <row r="494">
      <c r="A494" s="2" t="inlineStr">
        <is>
          <t>LORENZO BARTOLINI</t>
        </is>
      </c>
      <c r="B494" s="2" t="inlineStr">
        <is>
          <t>italienne</t>
        </is>
      </c>
      <c r="C494" s="2" t="inlineStr">
        <is>
          <t>sculpture</t>
        </is>
      </c>
      <c r="D494" s="2" t="inlineStr">
        <is>
          <t>19e</t>
        </is>
      </c>
      <c r="U494">
        <f>IF(ISNUMBER(SEARCH("fran",B494)),"France",IF(OR(ISNUMBER(SEARCH("italien",B494)),ISNUMBER(SEARCH("espagn",B494)),ISNUMBER(SEARCH("catalan",B494)),ISNUMBER(SEARCH("flamand",B494)),ISNUMBER(SEARCH("belge",B494)),ISNUMBER(SEARCH("hollandais",B494)),ISNUMBER(SEARCH("néerlandais",B494)),ISNUMBER(SEARCH("allemand",B494)),ISNUMBER(SEARCH("autrichien",B494)),ISNUMBER(SEARCH("suisse",B494)),ISNUMBER(SEARCH("anglais",B494)),ISNUMBER(SEARCH("britannique",B494)),ISNUMBER(SEARCH("écossais",B494)),ISNUMBER(SEARCH("irlandais",B494)),ISNUMBER(SEARCH("russe",B494)),ISNUMBER(SEARCH("portugais",B494)),ISNUMBER(SEARCH("danois",B494)),ISNUMBER(SEARCH("norvégien",B494)),ISNUMBER(SEARCH("suédois",B494)),ISNUMBER(SEARCH("finlandais",B494)),ISNUMBER(SEARCH("polonais",B494)),ISNUMBER(SEARCH("tchèque",B494)),ISNUMBER(SEARCH("hongrois",B494)),ISNUMBER(SEARCH("grec",B494)),ISNUMBER(SEARCH("byzantin",B494)),ISNUMBER(SEARCH("croate",B494)),ISNUMBER(SEARCH("ukrainien",B494)),ISNUMBER(SEARCH("bulgare",B494)),ISNUMBER(SEARCH("biélorusse",B494)),ISNUMBER(SEARCH("maltais",B494))),"Autres pays d'Europe",IF(OR(ISNUMBER(SEARCH("américain",B494)),ISNUMBER(SEARCH("mexicain",B494)),ISNUMBER(SEARCH("canadien",B494)),ISNUMBER(SEARCH("brésilien",B494)),ISNUMBER(SEARCH("argentin",B494))),"Amérique",IF(OR(ISNUMBER(SEARCH("chinois",B494)),ISNUMBER(SEARCH("japonais",B494)),ISNUMBER(SEARCH("coréen",B494)),ISNUMBER(SEARCH("indien",B494)),ISNUMBER(SEARCH("persan",B494)),ISNUMBER(SEARCH("iranien",B494))),"Asie","(non classée)"))))</f>
        <v/>
      </c>
    </row>
    <row r="495">
      <c r="A495" s="2" t="inlineStr">
        <is>
          <t>LORENZO GHIBERTI</t>
        </is>
      </c>
      <c r="B495" s="2" t="inlineStr">
        <is>
          <t>italienne</t>
        </is>
      </c>
      <c r="C495" s="2" t="inlineStr">
        <is>
          <t>sculpture</t>
        </is>
      </c>
      <c r="D495" s="2" t="inlineStr">
        <is>
          <t>15e</t>
        </is>
      </c>
      <c r="U495">
        <f>IF(ISNUMBER(SEARCH("fran",B495)),"France",IF(OR(ISNUMBER(SEARCH("italien",B495)),ISNUMBER(SEARCH("espagn",B495)),ISNUMBER(SEARCH("catalan",B495)),ISNUMBER(SEARCH("flamand",B495)),ISNUMBER(SEARCH("belge",B495)),ISNUMBER(SEARCH("hollandais",B495)),ISNUMBER(SEARCH("néerlandais",B495)),ISNUMBER(SEARCH("allemand",B495)),ISNUMBER(SEARCH("autrichien",B495)),ISNUMBER(SEARCH("suisse",B495)),ISNUMBER(SEARCH("anglais",B495)),ISNUMBER(SEARCH("britannique",B495)),ISNUMBER(SEARCH("écossais",B495)),ISNUMBER(SEARCH("irlandais",B495)),ISNUMBER(SEARCH("russe",B495)),ISNUMBER(SEARCH("portugais",B495)),ISNUMBER(SEARCH("danois",B495)),ISNUMBER(SEARCH("norvégien",B495)),ISNUMBER(SEARCH("suédois",B495)),ISNUMBER(SEARCH("finlandais",B495)),ISNUMBER(SEARCH("polonais",B495)),ISNUMBER(SEARCH("tchèque",B495)),ISNUMBER(SEARCH("hongrois",B495)),ISNUMBER(SEARCH("grec",B495)),ISNUMBER(SEARCH("byzantin",B495)),ISNUMBER(SEARCH("croate",B495)),ISNUMBER(SEARCH("ukrainien",B495)),ISNUMBER(SEARCH("bulgare",B495)),ISNUMBER(SEARCH("biélorusse",B495)),ISNUMBER(SEARCH("maltais",B495))),"Autres pays d'Europe",IF(OR(ISNUMBER(SEARCH("américain",B495)),ISNUMBER(SEARCH("mexicain",B495)),ISNUMBER(SEARCH("canadien",B495)),ISNUMBER(SEARCH("brésilien",B495)),ISNUMBER(SEARCH("argentin",B495))),"Amérique",IF(OR(ISNUMBER(SEARCH("chinois",B495)),ISNUMBER(SEARCH("japonais",B495)),ISNUMBER(SEARCH("coréen",B495)),ISNUMBER(SEARCH("indien",B495)),ISNUMBER(SEARCH("persan",B495)),ISNUMBER(SEARCH("iranien",B495))),"Asie","(non classée)"))))</f>
        <v/>
      </c>
    </row>
    <row r="496">
      <c r="A496" s="2" t="inlineStr">
        <is>
          <t>LORENZO LOTTO</t>
        </is>
      </c>
      <c r="B496" s="2" t="inlineStr">
        <is>
          <t>italienne</t>
        </is>
      </c>
      <c r="C496" s="2" t="inlineStr">
        <is>
          <t>peinture</t>
        </is>
      </c>
      <c r="D496" s="2" t="inlineStr">
        <is>
          <t>16e</t>
        </is>
      </c>
      <c r="U496">
        <f>IF(ISNUMBER(SEARCH("fran",B496)),"France",IF(OR(ISNUMBER(SEARCH("italien",B496)),ISNUMBER(SEARCH("espagn",B496)),ISNUMBER(SEARCH("catalan",B496)),ISNUMBER(SEARCH("flamand",B496)),ISNUMBER(SEARCH("belge",B496)),ISNUMBER(SEARCH("hollandais",B496)),ISNUMBER(SEARCH("néerlandais",B496)),ISNUMBER(SEARCH("allemand",B496)),ISNUMBER(SEARCH("autrichien",B496)),ISNUMBER(SEARCH("suisse",B496)),ISNUMBER(SEARCH("anglais",B496)),ISNUMBER(SEARCH("britannique",B496)),ISNUMBER(SEARCH("écossais",B496)),ISNUMBER(SEARCH("irlandais",B496)),ISNUMBER(SEARCH("russe",B496)),ISNUMBER(SEARCH("portugais",B496)),ISNUMBER(SEARCH("danois",B496)),ISNUMBER(SEARCH("norvégien",B496)),ISNUMBER(SEARCH("suédois",B496)),ISNUMBER(SEARCH("finlandais",B496)),ISNUMBER(SEARCH("polonais",B496)),ISNUMBER(SEARCH("tchèque",B496)),ISNUMBER(SEARCH("hongrois",B496)),ISNUMBER(SEARCH("grec",B496)),ISNUMBER(SEARCH("byzantin",B496)),ISNUMBER(SEARCH("croate",B496)),ISNUMBER(SEARCH("ukrainien",B496)),ISNUMBER(SEARCH("bulgare",B496)),ISNUMBER(SEARCH("biélorusse",B496)),ISNUMBER(SEARCH("maltais",B496))),"Autres pays d'Europe",IF(OR(ISNUMBER(SEARCH("américain",B496)),ISNUMBER(SEARCH("mexicain",B496)),ISNUMBER(SEARCH("canadien",B496)),ISNUMBER(SEARCH("brésilien",B496)),ISNUMBER(SEARCH("argentin",B496))),"Amérique",IF(OR(ISNUMBER(SEARCH("chinois",B496)),ISNUMBER(SEARCH("japonais",B496)),ISNUMBER(SEARCH("coréen",B496)),ISNUMBER(SEARCH("indien",B496)),ISNUMBER(SEARCH("persan",B496)),ISNUMBER(SEARCH("iranien",B496))),"Asie","(non classée)"))))</f>
        <v/>
      </c>
    </row>
    <row r="497">
      <c r="A497" s="2" t="inlineStr">
        <is>
          <t>LORENZO MAITANI</t>
        </is>
      </c>
      <c r="B497" s="2" t="inlineStr">
        <is>
          <t>italienne</t>
        </is>
      </c>
      <c r="C497" s="2" t="inlineStr">
        <is>
          <t>sculpture</t>
        </is>
      </c>
      <c r="D497" s="2" t="inlineStr">
        <is>
          <t>14e</t>
        </is>
      </c>
      <c r="U497">
        <f>IF(ISNUMBER(SEARCH("fran",B497)),"France",IF(OR(ISNUMBER(SEARCH("italien",B497)),ISNUMBER(SEARCH("espagn",B497)),ISNUMBER(SEARCH("catalan",B497)),ISNUMBER(SEARCH("flamand",B497)),ISNUMBER(SEARCH("belge",B497)),ISNUMBER(SEARCH("hollandais",B497)),ISNUMBER(SEARCH("néerlandais",B497)),ISNUMBER(SEARCH("allemand",B497)),ISNUMBER(SEARCH("autrichien",B497)),ISNUMBER(SEARCH("suisse",B497)),ISNUMBER(SEARCH("anglais",B497)),ISNUMBER(SEARCH("britannique",B497)),ISNUMBER(SEARCH("écossais",B497)),ISNUMBER(SEARCH("irlandais",B497)),ISNUMBER(SEARCH("russe",B497)),ISNUMBER(SEARCH("portugais",B497)),ISNUMBER(SEARCH("danois",B497)),ISNUMBER(SEARCH("norvégien",B497)),ISNUMBER(SEARCH("suédois",B497)),ISNUMBER(SEARCH("finlandais",B497)),ISNUMBER(SEARCH("polonais",B497)),ISNUMBER(SEARCH("tchèque",B497)),ISNUMBER(SEARCH("hongrois",B497)),ISNUMBER(SEARCH("grec",B497)),ISNUMBER(SEARCH("byzantin",B497)),ISNUMBER(SEARCH("croate",B497)),ISNUMBER(SEARCH("ukrainien",B497)),ISNUMBER(SEARCH("bulgare",B497)),ISNUMBER(SEARCH("biélorusse",B497)),ISNUMBER(SEARCH("maltais",B497))),"Autres pays d'Europe",IF(OR(ISNUMBER(SEARCH("américain",B497)),ISNUMBER(SEARCH("mexicain",B497)),ISNUMBER(SEARCH("canadien",B497)),ISNUMBER(SEARCH("brésilien",B497)),ISNUMBER(SEARCH("argentin",B497))),"Amérique",IF(OR(ISNUMBER(SEARCH("chinois",B497)),ISNUMBER(SEARCH("japonais",B497)),ISNUMBER(SEARCH("coréen",B497)),ISNUMBER(SEARCH("indien",B497)),ISNUMBER(SEARCH("persan",B497)),ISNUMBER(SEARCH("iranien",B497))),"Asie","(non classée)"))))</f>
        <v/>
      </c>
    </row>
    <row r="498">
      <c r="A498" s="2" t="inlineStr">
        <is>
          <t>LORENZO MONACO</t>
        </is>
      </c>
      <c r="B498" s="2" t="inlineStr">
        <is>
          <t>italienne</t>
        </is>
      </c>
      <c r="C498" s="2" t="inlineStr">
        <is>
          <t>peinture</t>
        </is>
      </c>
      <c r="D498" s="2" t="inlineStr">
        <is>
          <t>14e</t>
        </is>
      </c>
      <c r="U498">
        <f>IF(ISNUMBER(SEARCH("fran",B498)),"France",IF(OR(ISNUMBER(SEARCH("italien",B498)),ISNUMBER(SEARCH("espagn",B498)),ISNUMBER(SEARCH("catalan",B498)),ISNUMBER(SEARCH("flamand",B498)),ISNUMBER(SEARCH("belge",B498)),ISNUMBER(SEARCH("hollandais",B498)),ISNUMBER(SEARCH("néerlandais",B498)),ISNUMBER(SEARCH("allemand",B498)),ISNUMBER(SEARCH("autrichien",B498)),ISNUMBER(SEARCH("suisse",B498)),ISNUMBER(SEARCH("anglais",B498)),ISNUMBER(SEARCH("britannique",B498)),ISNUMBER(SEARCH("écossais",B498)),ISNUMBER(SEARCH("irlandais",B498)),ISNUMBER(SEARCH("russe",B498)),ISNUMBER(SEARCH("portugais",B498)),ISNUMBER(SEARCH("danois",B498)),ISNUMBER(SEARCH("norvégien",B498)),ISNUMBER(SEARCH("suédois",B498)),ISNUMBER(SEARCH("finlandais",B498)),ISNUMBER(SEARCH("polonais",B498)),ISNUMBER(SEARCH("tchèque",B498)),ISNUMBER(SEARCH("hongrois",B498)),ISNUMBER(SEARCH("grec",B498)),ISNUMBER(SEARCH("byzantin",B498)),ISNUMBER(SEARCH("croate",B498)),ISNUMBER(SEARCH("ukrainien",B498)),ISNUMBER(SEARCH("bulgare",B498)),ISNUMBER(SEARCH("biélorusse",B498)),ISNUMBER(SEARCH("maltais",B498))),"Autres pays d'Europe",IF(OR(ISNUMBER(SEARCH("américain",B498)),ISNUMBER(SEARCH("mexicain",B498)),ISNUMBER(SEARCH("canadien",B498)),ISNUMBER(SEARCH("brésilien",B498)),ISNUMBER(SEARCH("argentin",B498))),"Amérique",IF(OR(ISNUMBER(SEARCH("chinois",B498)),ISNUMBER(SEARCH("japonais",B498)),ISNUMBER(SEARCH("coréen",B498)),ISNUMBER(SEARCH("indien",B498)),ISNUMBER(SEARCH("persan",B498)),ISNUMBER(SEARCH("iranien",B498))),"Asie","(non classée)"))))</f>
        <v/>
      </c>
    </row>
    <row r="499">
      <c r="A499" s="2" t="inlineStr">
        <is>
          <t>LORENZO VENEZIANO</t>
        </is>
      </c>
      <c r="B499" s="2" t="inlineStr">
        <is>
          <t>italienne</t>
        </is>
      </c>
      <c r="C499" s="2" t="inlineStr">
        <is>
          <t>peinture</t>
        </is>
      </c>
      <c r="D499" s="2" t="inlineStr">
        <is>
          <t>14e</t>
        </is>
      </c>
      <c r="U499">
        <f>IF(ISNUMBER(SEARCH("fran",B499)),"France",IF(OR(ISNUMBER(SEARCH("italien",B499)),ISNUMBER(SEARCH("espagn",B499)),ISNUMBER(SEARCH("catalan",B499)),ISNUMBER(SEARCH("flamand",B499)),ISNUMBER(SEARCH("belge",B499)),ISNUMBER(SEARCH("hollandais",B499)),ISNUMBER(SEARCH("néerlandais",B499)),ISNUMBER(SEARCH("allemand",B499)),ISNUMBER(SEARCH("autrichien",B499)),ISNUMBER(SEARCH("suisse",B499)),ISNUMBER(SEARCH("anglais",B499)),ISNUMBER(SEARCH("britannique",B499)),ISNUMBER(SEARCH("écossais",B499)),ISNUMBER(SEARCH("irlandais",B499)),ISNUMBER(SEARCH("russe",B499)),ISNUMBER(SEARCH("portugais",B499)),ISNUMBER(SEARCH("danois",B499)),ISNUMBER(SEARCH("norvégien",B499)),ISNUMBER(SEARCH("suédois",B499)),ISNUMBER(SEARCH("finlandais",B499)),ISNUMBER(SEARCH("polonais",B499)),ISNUMBER(SEARCH("tchèque",B499)),ISNUMBER(SEARCH("hongrois",B499)),ISNUMBER(SEARCH("grec",B499)),ISNUMBER(SEARCH("byzantin",B499)),ISNUMBER(SEARCH("croate",B499)),ISNUMBER(SEARCH("ukrainien",B499)),ISNUMBER(SEARCH("bulgare",B499)),ISNUMBER(SEARCH("biélorusse",B499)),ISNUMBER(SEARCH("maltais",B499))),"Autres pays d'Europe",IF(OR(ISNUMBER(SEARCH("américain",B499)),ISNUMBER(SEARCH("mexicain",B499)),ISNUMBER(SEARCH("canadien",B499)),ISNUMBER(SEARCH("brésilien",B499)),ISNUMBER(SEARCH("argentin",B499))),"Amérique",IF(OR(ISNUMBER(SEARCH("chinois",B499)),ISNUMBER(SEARCH("japonais",B499)),ISNUMBER(SEARCH("coréen",B499)),ISNUMBER(SEARCH("indien",B499)),ISNUMBER(SEARCH("persan",B499)),ISNUMBER(SEARCH("iranien",B499))),"Asie","(non classée)"))))</f>
        <v/>
      </c>
    </row>
    <row r="500">
      <c r="A500" s="2" t="inlineStr">
        <is>
          <t>LOUIS LE NAIN</t>
        </is>
      </c>
      <c r="B500" s="2" t="inlineStr">
        <is>
          <t>française</t>
        </is>
      </c>
      <c r="C500" s="2" t="inlineStr">
        <is>
          <t>peinture</t>
        </is>
      </c>
      <c r="D500" s="2" t="inlineStr">
        <is>
          <t>17e</t>
        </is>
      </c>
      <c r="U500">
        <f>IF(ISNUMBER(SEARCH("fran",B500)),"France",IF(OR(ISNUMBER(SEARCH("italien",B500)),ISNUMBER(SEARCH("espagn",B500)),ISNUMBER(SEARCH("catalan",B500)),ISNUMBER(SEARCH("flamand",B500)),ISNUMBER(SEARCH("belge",B500)),ISNUMBER(SEARCH("hollandais",B500)),ISNUMBER(SEARCH("néerlandais",B500)),ISNUMBER(SEARCH("allemand",B500)),ISNUMBER(SEARCH("autrichien",B500)),ISNUMBER(SEARCH("suisse",B500)),ISNUMBER(SEARCH("anglais",B500)),ISNUMBER(SEARCH("britannique",B500)),ISNUMBER(SEARCH("écossais",B500)),ISNUMBER(SEARCH("irlandais",B500)),ISNUMBER(SEARCH("russe",B500)),ISNUMBER(SEARCH("portugais",B500)),ISNUMBER(SEARCH("danois",B500)),ISNUMBER(SEARCH("norvégien",B500)),ISNUMBER(SEARCH("suédois",B500)),ISNUMBER(SEARCH("finlandais",B500)),ISNUMBER(SEARCH("polonais",B500)),ISNUMBER(SEARCH("tchèque",B500)),ISNUMBER(SEARCH("hongrois",B500)),ISNUMBER(SEARCH("grec",B500)),ISNUMBER(SEARCH("byzantin",B500)),ISNUMBER(SEARCH("croate",B500)),ISNUMBER(SEARCH("ukrainien",B500)),ISNUMBER(SEARCH("bulgare",B500)),ISNUMBER(SEARCH("biélorusse",B500)),ISNUMBER(SEARCH("maltais",B500))),"Autres pays d'Europe",IF(OR(ISNUMBER(SEARCH("américain",B500)),ISNUMBER(SEARCH("mexicain",B500)),ISNUMBER(SEARCH("canadien",B500)),ISNUMBER(SEARCH("brésilien",B500)),ISNUMBER(SEARCH("argentin",B500))),"Amérique",IF(OR(ISNUMBER(SEARCH("chinois",B500)),ISNUMBER(SEARCH("japonais",B500)),ISNUMBER(SEARCH("coréen",B500)),ISNUMBER(SEARCH("indien",B500)),ISNUMBER(SEARCH("persan",B500)),ISNUMBER(SEARCH("iranien",B500))),"Asie","(non classée)"))))</f>
        <v/>
      </c>
    </row>
    <row r="501">
      <c r="A501" s="2" t="inlineStr">
        <is>
          <t>LOUIS VALTAT</t>
        </is>
      </c>
      <c r="B501" s="2" t="inlineStr">
        <is>
          <t>française</t>
        </is>
      </c>
      <c r="C501" s="2" t="inlineStr">
        <is>
          <t>peinture</t>
        </is>
      </c>
      <c r="D501" s="2" t="inlineStr">
        <is>
          <t>20e</t>
        </is>
      </c>
      <c r="U501">
        <f>IF(ISNUMBER(SEARCH("fran",B501)),"France",IF(OR(ISNUMBER(SEARCH("italien",B501)),ISNUMBER(SEARCH("espagn",B501)),ISNUMBER(SEARCH("catalan",B501)),ISNUMBER(SEARCH("flamand",B501)),ISNUMBER(SEARCH("belge",B501)),ISNUMBER(SEARCH("hollandais",B501)),ISNUMBER(SEARCH("néerlandais",B501)),ISNUMBER(SEARCH("allemand",B501)),ISNUMBER(SEARCH("autrichien",B501)),ISNUMBER(SEARCH("suisse",B501)),ISNUMBER(SEARCH("anglais",B501)),ISNUMBER(SEARCH("britannique",B501)),ISNUMBER(SEARCH("écossais",B501)),ISNUMBER(SEARCH("irlandais",B501)),ISNUMBER(SEARCH("russe",B501)),ISNUMBER(SEARCH("portugais",B501)),ISNUMBER(SEARCH("danois",B501)),ISNUMBER(SEARCH("norvégien",B501)),ISNUMBER(SEARCH("suédois",B501)),ISNUMBER(SEARCH("finlandais",B501)),ISNUMBER(SEARCH("polonais",B501)),ISNUMBER(SEARCH("tchèque",B501)),ISNUMBER(SEARCH("hongrois",B501)),ISNUMBER(SEARCH("grec",B501)),ISNUMBER(SEARCH("byzantin",B501)),ISNUMBER(SEARCH("croate",B501)),ISNUMBER(SEARCH("ukrainien",B501)),ISNUMBER(SEARCH("bulgare",B501)),ISNUMBER(SEARCH("biélorusse",B501)),ISNUMBER(SEARCH("maltais",B501))),"Autres pays d'Europe",IF(OR(ISNUMBER(SEARCH("américain",B501)),ISNUMBER(SEARCH("mexicain",B501)),ISNUMBER(SEARCH("canadien",B501)),ISNUMBER(SEARCH("brésilien",B501)),ISNUMBER(SEARCH("argentin",B501))),"Amérique",IF(OR(ISNUMBER(SEARCH("chinois",B501)),ISNUMBER(SEARCH("japonais",B501)),ISNUMBER(SEARCH("coréen",B501)),ISNUMBER(SEARCH("indien",B501)),ISNUMBER(SEARCH("persan",B501)),ISNUMBER(SEARCH("iranien",B501))),"Asie","(non classée)"))))</f>
        <v/>
      </c>
    </row>
    <row r="502">
      <c r="A502" s="2" t="inlineStr">
        <is>
          <t>LOUIS-ERNEST BARRIAS</t>
        </is>
      </c>
      <c r="B502" s="2" t="inlineStr">
        <is>
          <t>française</t>
        </is>
      </c>
      <c r="C502" s="2" t="inlineStr">
        <is>
          <t>sculpture</t>
        </is>
      </c>
      <c r="D502" s="2" t="inlineStr">
        <is>
          <t>19e</t>
        </is>
      </c>
      <c r="U502">
        <f>IF(ISNUMBER(SEARCH("fran",B502)),"France",IF(OR(ISNUMBER(SEARCH("italien",B502)),ISNUMBER(SEARCH("espagn",B502)),ISNUMBER(SEARCH("catalan",B502)),ISNUMBER(SEARCH("flamand",B502)),ISNUMBER(SEARCH("belge",B502)),ISNUMBER(SEARCH("hollandais",B502)),ISNUMBER(SEARCH("néerlandais",B502)),ISNUMBER(SEARCH("allemand",B502)),ISNUMBER(SEARCH("autrichien",B502)),ISNUMBER(SEARCH("suisse",B502)),ISNUMBER(SEARCH("anglais",B502)),ISNUMBER(SEARCH("britannique",B502)),ISNUMBER(SEARCH("écossais",B502)),ISNUMBER(SEARCH("irlandais",B502)),ISNUMBER(SEARCH("russe",B502)),ISNUMBER(SEARCH("portugais",B502)),ISNUMBER(SEARCH("danois",B502)),ISNUMBER(SEARCH("norvégien",B502)),ISNUMBER(SEARCH("suédois",B502)),ISNUMBER(SEARCH("finlandais",B502)),ISNUMBER(SEARCH("polonais",B502)),ISNUMBER(SEARCH("tchèque",B502)),ISNUMBER(SEARCH("hongrois",B502)),ISNUMBER(SEARCH("grec",B502)),ISNUMBER(SEARCH("byzantin",B502)),ISNUMBER(SEARCH("croate",B502)),ISNUMBER(SEARCH("ukrainien",B502)),ISNUMBER(SEARCH("bulgare",B502)),ISNUMBER(SEARCH("biélorusse",B502)),ISNUMBER(SEARCH("maltais",B502))),"Autres pays d'Europe",IF(OR(ISNUMBER(SEARCH("américain",B502)),ISNUMBER(SEARCH("mexicain",B502)),ISNUMBER(SEARCH("canadien",B502)),ISNUMBER(SEARCH("brésilien",B502)),ISNUMBER(SEARCH("argentin",B502))),"Amérique",IF(OR(ISNUMBER(SEARCH("chinois",B502)),ISNUMBER(SEARCH("japonais",B502)),ISNUMBER(SEARCH("coréen",B502)),ISNUMBER(SEARCH("indien",B502)),ISNUMBER(SEARCH("persan",B502)),ISNUMBER(SEARCH("iranien",B502))),"Asie","(non classée)"))))</f>
        <v/>
      </c>
    </row>
    <row r="503">
      <c r="A503" s="2" t="inlineStr">
        <is>
          <t>LOUIS-FRANÇOIS ROUBILIAC</t>
        </is>
      </c>
      <c r="B503" s="2" t="inlineStr">
        <is>
          <t>française</t>
        </is>
      </c>
      <c r="C503" s="2" t="inlineStr">
        <is>
          <t>sculpture</t>
        </is>
      </c>
      <c r="D503" s="2" t="inlineStr">
        <is>
          <t>18e</t>
        </is>
      </c>
      <c r="U503">
        <f>IF(ISNUMBER(SEARCH("fran",B503)),"France",IF(OR(ISNUMBER(SEARCH("italien",B503)),ISNUMBER(SEARCH("espagn",B503)),ISNUMBER(SEARCH("catalan",B503)),ISNUMBER(SEARCH("flamand",B503)),ISNUMBER(SEARCH("belge",B503)),ISNUMBER(SEARCH("hollandais",B503)),ISNUMBER(SEARCH("néerlandais",B503)),ISNUMBER(SEARCH("allemand",B503)),ISNUMBER(SEARCH("autrichien",B503)),ISNUMBER(SEARCH("suisse",B503)),ISNUMBER(SEARCH("anglais",B503)),ISNUMBER(SEARCH("britannique",B503)),ISNUMBER(SEARCH("écossais",B503)),ISNUMBER(SEARCH("irlandais",B503)),ISNUMBER(SEARCH("russe",B503)),ISNUMBER(SEARCH("portugais",B503)),ISNUMBER(SEARCH("danois",B503)),ISNUMBER(SEARCH("norvégien",B503)),ISNUMBER(SEARCH("suédois",B503)),ISNUMBER(SEARCH("finlandais",B503)),ISNUMBER(SEARCH("polonais",B503)),ISNUMBER(SEARCH("tchèque",B503)),ISNUMBER(SEARCH("hongrois",B503)),ISNUMBER(SEARCH("grec",B503)),ISNUMBER(SEARCH("byzantin",B503)),ISNUMBER(SEARCH("croate",B503)),ISNUMBER(SEARCH("ukrainien",B503)),ISNUMBER(SEARCH("bulgare",B503)),ISNUMBER(SEARCH("biélorusse",B503)),ISNUMBER(SEARCH("maltais",B503))),"Autres pays d'Europe",IF(OR(ISNUMBER(SEARCH("américain",B503)),ISNUMBER(SEARCH("mexicain",B503)),ISNUMBER(SEARCH("canadien",B503)),ISNUMBER(SEARCH("brésilien",B503)),ISNUMBER(SEARCH("argentin",B503))),"Amérique",IF(OR(ISNUMBER(SEARCH("chinois",B503)),ISNUMBER(SEARCH("japonais",B503)),ISNUMBER(SEARCH("coréen",B503)),ISNUMBER(SEARCH("indien",B503)),ISNUMBER(SEARCH("persan",B503)),ISNUMBER(SEARCH("iranien",B503))),"Asie","(non classée)"))))</f>
        <v/>
      </c>
    </row>
    <row r="504">
      <c r="A504" s="2" t="inlineStr">
        <is>
          <t>LOUIS-SIMON BOIZOT</t>
        </is>
      </c>
      <c r="B504" s="2" t="inlineStr">
        <is>
          <t>française</t>
        </is>
      </c>
      <c r="C504" s="2" t="inlineStr">
        <is>
          <t>sculpture</t>
        </is>
      </c>
      <c r="D504" s="2" t="inlineStr">
        <is>
          <t>18e</t>
        </is>
      </c>
      <c r="U504">
        <f>IF(ISNUMBER(SEARCH("fran",B504)),"France",IF(OR(ISNUMBER(SEARCH("italien",B504)),ISNUMBER(SEARCH("espagn",B504)),ISNUMBER(SEARCH("catalan",B504)),ISNUMBER(SEARCH("flamand",B504)),ISNUMBER(SEARCH("belge",B504)),ISNUMBER(SEARCH("hollandais",B504)),ISNUMBER(SEARCH("néerlandais",B504)),ISNUMBER(SEARCH("allemand",B504)),ISNUMBER(SEARCH("autrichien",B504)),ISNUMBER(SEARCH("suisse",B504)),ISNUMBER(SEARCH("anglais",B504)),ISNUMBER(SEARCH("britannique",B504)),ISNUMBER(SEARCH("écossais",B504)),ISNUMBER(SEARCH("irlandais",B504)),ISNUMBER(SEARCH("russe",B504)),ISNUMBER(SEARCH("portugais",B504)),ISNUMBER(SEARCH("danois",B504)),ISNUMBER(SEARCH("norvégien",B504)),ISNUMBER(SEARCH("suédois",B504)),ISNUMBER(SEARCH("finlandais",B504)),ISNUMBER(SEARCH("polonais",B504)),ISNUMBER(SEARCH("tchèque",B504)),ISNUMBER(SEARCH("hongrois",B504)),ISNUMBER(SEARCH("grec",B504)),ISNUMBER(SEARCH("byzantin",B504)),ISNUMBER(SEARCH("croate",B504)),ISNUMBER(SEARCH("ukrainien",B504)),ISNUMBER(SEARCH("bulgare",B504)),ISNUMBER(SEARCH("biélorusse",B504)),ISNUMBER(SEARCH("maltais",B504))),"Autres pays d'Europe",IF(OR(ISNUMBER(SEARCH("américain",B504)),ISNUMBER(SEARCH("mexicain",B504)),ISNUMBER(SEARCH("canadien",B504)),ISNUMBER(SEARCH("brésilien",B504)),ISNUMBER(SEARCH("argentin",B504))),"Amérique",IF(OR(ISNUMBER(SEARCH("chinois",B504)),ISNUMBER(SEARCH("japonais",B504)),ISNUMBER(SEARCH("coréen",B504)),ISNUMBER(SEARCH("indien",B504)),ISNUMBER(SEARCH("persan",B504)),ISNUMBER(SEARCH("iranien",B504))),"Asie","(non classée)"))))</f>
        <v/>
      </c>
    </row>
    <row r="505">
      <c r="A505" s="2" t="inlineStr">
        <is>
          <t>LOVIS CORINTH</t>
        </is>
      </c>
      <c r="B505" s="2" t="inlineStr">
        <is>
          <t>allemande</t>
        </is>
      </c>
      <c r="C505" s="2" t="inlineStr">
        <is>
          <t>peinture</t>
        </is>
      </c>
      <c r="D505" s="2" t="inlineStr">
        <is>
          <t>20e</t>
        </is>
      </c>
      <c r="U505">
        <f>IF(ISNUMBER(SEARCH("fran",B505)),"France",IF(OR(ISNUMBER(SEARCH("italien",B505)),ISNUMBER(SEARCH("espagn",B505)),ISNUMBER(SEARCH("catalan",B505)),ISNUMBER(SEARCH("flamand",B505)),ISNUMBER(SEARCH("belge",B505)),ISNUMBER(SEARCH("hollandais",B505)),ISNUMBER(SEARCH("néerlandais",B505)),ISNUMBER(SEARCH("allemand",B505)),ISNUMBER(SEARCH("autrichien",B505)),ISNUMBER(SEARCH("suisse",B505)),ISNUMBER(SEARCH("anglais",B505)),ISNUMBER(SEARCH("britannique",B505)),ISNUMBER(SEARCH("écossais",B505)),ISNUMBER(SEARCH("irlandais",B505)),ISNUMBER(SEARCH("russe",B505)),ISNUMBER(SEARCH("portugais",B505)),ISNUMBER(SEARCH("danois",B505)),ISNUMBER(SEARCH("norvégien",B505)),ISNUMBER(SEARCH("suédois",B505)),ISNUMBER(SEARCH("finlandais",B505)),ISNUMBER(SEARCH("polonais",B505)),ISNUMBER(SEARCH("tchèque",B505)),ISNUMBER(SEARCH("hongrois",B505)),ISNUMBER(SEARCH("grec",B505)),ISNUMBER(SEARCH("byzantin",B505)),ISNUMBER(SEARCH("croate",B505)),ISNUMBER(SEARCH("ukrainien",B505)),ISNUMBER(SEARCH("bulgare",B505)),ISNUMBER(SEARCH("biélorusse",B505)),ISNUMBER(SEARCH("maltais",B505))),"Autres pays d'Europe",IF(OR(ISNUMBER(SEARCH("américain",B505)),ISNUMBER(SEARCH("mexicain",B505)),ISNUMBER(SEARCH("canadien",B505)),ISNUMBER(SEARCH("brésilien",B505)),ISNUMBER(SEARCH("argentin",B505))),"Amérique",IF(OR(ISNUMBER(SEARCH("chinois",B505)),ISNUMBER(SEARCH("japonais",B505)),ISNUMBER(SEARCH("coréen",B505)),ISNUMBER(SEARCH("indien",B505)),ISNUMBER(SEARCH("persan",B505)),ISNUMBER(SEARCH("iranien",B505))),"Asie","(non classée)"))))</f>
        <v/>
      </c>
    </row>
    <row r="506">
      <c r="A506" s="2" t="inlineStr">
        <is>
          <t>LOY HERING</t>
        </is>
      </c>
      <c r="B506" s="2" t="inlineStr">
        <is>
          <t>allemande</t>
        </is>
      </c>
      <c r="C506" s="2" t="inlineStr">
        <is>
          <t>sculpture</t>
        </is>
      </c>
      <c r="D506" s="2" t="inlineStr">
        <is>
          <t>16e</t>
        </is>
      </c>
      <c r="U506">
        <f>IF(ISNUMBER(SEARCH("fran",B506)),"France",IF(OR(ISNUMBER(SEARCH("italien",B506)),ISNUMBER(SEARCH("espagn",B506)),ISNUMBER(SEARCH("catalan",B506)),ISNUMBER(SEARCH("flamand",B506)),ISNUMBER(SEARCH("belge",B506)),ISNUMBER(SEARCH("hollandais",B506)),ISNUMBER(SEARCH("néerlandais",B506)),ISNUMBER(SEARCH("allemand",B506)),ISNUMBER(SEARCH("autrichien",B506)),ISNUMBER(SEARCH("suisse",B506)),ISNUMBER(SEARCH("anglais",B506)),ISNUMBER(SEARCH("britannique",B506)),ISNUMBER(SEARCH("écossais",B506)),ISNUMBER(SEARCH("irlandais",B506)),ISNUMBER(SEARCH("russe",B506)),ISNUMBER(SEARCH("portugais",B506)),ISNUMBER(SEARCH("danois",B506)),ISNUMBER(SEARCH("norvégien",B506)),ISNUMBER(SEARCH("suédois",B506)),ISNUMBER(SEARCH("finlandais",B506)),ISNUMBER(SEARCH("polonais",B506)),ISNUMBER(SEARCH("tchèque",B506)),ISNUMBER(SEARCH("hongrois",B506)),ISNUMBER(SEARCH("grec",B506)),ISNUMBER(SEARCH("byzantin",B506)),ISNUMBER(SEARCH("croate",B506)),ISNUMBER(SEARCH("ukrainien",B506)),ISNUMBER(SEARCH("bulgare",B506)),ISNUMBER(SEARCH("biélorusse",B506)),ISNUMBER(SEARCH("maltais",B506))),"Autres pays d'Europe",IF(OR(ISNUMBER(SEARCH("américain",B506)),ISNUMBER(SEARCH("mexicain",B506)),ISNUMBER(SEARCH("canadien",B506)),ISNUMBER(SEARCH("brésilien",B506)),ISNUMBER(SEARCH("argentin",B506))),"Amérique",IF(OR(ISNUMBER(SEARCH("chinois",B506)),ISNUMBER(SEARCH("japonais",B506)),ISNUMBER(SEARCH("coréen",B506)),ISNUMBER(SEARCH("indien",B506)),ISNUMBER(SEARCH("persan",B506)),ISNUMBER(SEARCH("iranien",B506))),"Asie","(non classée)"))))</f>
        <v/>
      </c>
    </row>
    <row r="507">
      <c r="A507" s="2" t="inlineStr">
        <is>
          <t>LUCA GIORDANO</t>
        </is>
      </c>
      <c r="B507" s="2" t="inlineStr">
        <is>
          <t>italienne</t>
        </is>
      </c>
      <c r="C507" s="2" t="inlineStr">
        <is>
          <t>peinture</t>
        </is>
      </c>
      <c r="D507" s="2" t="inlineStr">
        <is>
          <t>17e</t>
        </is>
      </c>
      <c r="U507">
        <f>IF(ISNUMBER(SEARCH("fran",B507)),"France",IF(OR(ISNUMBER(SEARCH("italien",B507)),ISNUMBER(SEARCH("espagn",B507)),ISNUMBER(SEARCH("catalan",B507)),ISNUMBER(SEARCH("flamand",B507)),ISNUMBER(SEARCH("belge",B507)),ISNUMBER(SEARCH("hollandais",B507)),ISNUMBER(SEARCH("néerlandais",B507)),ISNUMBER(SEARCH("allemand",B507)),ISNUMBER(SEARCH("autrichien",B507)),ISNUMBER(SEARCH("suisse",B507)),ISNUMBER(SEARCH("anglais",B507)),ISNUMBER(SEARCH("britannique",B507)),ISNUMBER(SEARCH("écossais",B507)),ISNUMBER(SEARCH("irlandais",B507)),ISNUMBER(SEARCH("russe",B507)),ISNUMBER(SEARCH("portugais",B507)),ISNUMBER(SEARCH("danois",B507)),ISNUMBER(SEARCH("norvégien",B507)),ISNUMBER(SEARCH("suédois",B507)),ISNUMBER(SEARCH("finlandais",B507)),ISNUMBER(SEARCH("polonais",B507)),ISNUMBER(SEARCH("tchèque",B507)),ISNUMBER(SEARCH("hongrois",B507)),ISNUMBER(SEARCH("grec",B507)),ISNUMBER(SEARCH("byzantin",B507)),ISNUMBER(SEARCH("croate",B507)),ISNUMBER(SEARCH("ukrainien",B507)),ISNUMBER(SEARCH("bulgare",B507)),ISNUMBER(SEARCH("biélorusse",B507)),ISNUMBER(SEARCH("maltais",B507))),"Autres pays d'Europe",IF(OR(ISNUMBER(SEARCH("américain",B507)),ISNUMBER(SEARCH("mexicain",B507)),ISNUMBER(SEARCH("canadien",B507)),ISNUMBER(SEARCH("brésilien",B507)),ISNUMBER(SEARCH("argentin",B507))),"Amérique",IF(OR(ISNUMBER(SEARCH("chinois",B507)),ISNUMBER(SEARCH("japonais",B507)),ISNUMBER(SEARCH("coréen",B507)),ISNUMBER(SEARCH("indien",B507)),ISNUMBER(SEARCH("persan",B507)),ISNUMBER(SEARCH("iranien",B507))),"Asie","(non classée)"))))</f>
        <v/>
      </c>
    </row>
    <row r="508">
      <c r="A508" s="2" t="inlineStr">
        <is>
          <t>LUCA SIGNORELLI</t>
        </is>
      </c>
      <c r="B508" s="2" t="inlineStr">
        <is>
          <t>italienne</t>
        </is>
      </c>
      <c r="C508" s="2" t="inlineStr">
        <is>
          <t>peinture</t>
        </is>
      </c>
      <c r="D508" s="2" t="inlineStr">
        <is>
          <t>15e</t>
        </is>
      </c>
      <c r="U508">
        <f>IF(ISNUMBER(SEARCH("fran",B508)),"France",IF(OR(ISNUMBER(SEARCH("italien",B508)),ISNUMBER(SEARCH("espagn",B508)),ISNUMBER(SEARCH("catalan",B508)),ISNUMBER(SEARCH("flamand",B508)),ISNUMBER(SEARCH("belge",B508)),ISNUMBER(SEARCH("hollandais",B508)),ISNUMBER(SEARCH("néerlandais",B508)),ISNUMBER(SEARCH("allemand",B508)),ISNUMBER(SEARCH("autrichien",B508)),ISNUMBER(SEARCH("suisse",B508)),ISNUMBER(SEARCH("anglais",B508)),ISNUMBER(SEARCH("britannique",B508)),ISNUMBER(SEARCH("écossais",B508)),ISNUMBER(SEARCH("irlandais",B508)),ISNUMBER(SEARCH("russe",B508)),ISNUMBER(SEARCH("portugais",B508)),ISNUMBER(SEARCH("danois",B508)),ISNUMBER(SEARCH("norvégien",B508)),ISNUMBER(SEARCH("suédois",B508)),ISNUMBER(SEARCH("finlandais",B508)),ISNUMBER(SEARCH("polonais",B508)),ISNUMBER(SEARCH("tchèque",B508)),ISNUMBER(SEARCH("hongrois",B508)),ISNUMBER(SEARCH("grec",B508)),ISNUMBER(SEARCH("byzantin",B508)),ISNUMBER(SEARCH("croate",B508)),ISNUMBER(SEARCH("ukrainien",B508)),ISNUMBER(SEARCH("bulgare",B508)),ISNUMBER(SEARCH("biélorusse",B508)),ISNUMBER(SEARCH("maltais",B508))),"Autres pays d'Europe",IF(OR(ISNUMBER(SEARCH("américain",B508)),ISNUMBER(SEARCH("mexicain",B508)),ISNUMBER(SEARCH("canadien",B508)),ISNUMBER(SEARCH("brésilien",B508)),ISNUMBER(SEARCH("argentin",B508))),"Amérique",IF(OR(ISNUMBER(SEARCH("chinois",B508)),ISNUMBER(SEARCH("japonais",B508)),ISNUMBER(SEARCH("coréen",B508)),ISNUMBER(SEARCH("indien",B508)),ISNUMBER(SEARCH("persan",B508)),ISNUMBER(SEARCH("iranien",B508))),"Asie","(non classée)"))))</f>
        <v/>
      </c>
    </row>
    <row r="509">
      <c r="A509" s="2" t="inlineStr">
        <is>
          <t>LUCA DELLA ROBBIA</t>
        </is>
      </c>
      <c r="B509" s="2" t="inlineStr">
        <is>
          <t>italienne</t>
        </is>
      </c>
      <c r="C509" s="2" t="inlineStr">
        <is>
          <t>sculpture</t>
        </is>
      </c>
      <c r="D509" s="2" t="inlineStr">
        <is>
          <t>15e</t>
        </is>
      </c>
      <c r="U509">
        <f>IF(ISNUMBER(SEARCH("fran",B509)),"France",IF(OR(ISNUMBER(SEARCH("italien",B509)),ISNUMBER(SEARCH("espagn",B509)),ISNUMBER(SEARCH("catalan",B509)),ISNUMBER(SEARCH("flamand",B509)),ISNUMBER(SEARCH("belge",B509)),ISNUMBER(SEARCH("hollandais",B509)),ISNUMBER(SEARCH("néerlandais",B509)),ISNUMBER(SEARCH("allemand",B509)),ISNUMBER(SEARCH("autrichien",B509)),ISNUMBER(SEARCH("suisse",B509)),ISNUMBER(SEARCH("anglais",B509)),ISNUMBER(SEARCH("britannique",B509)),ISNUMBER(SEARCH("écossais",B509)),ISNUMBER(SEARCH("irlandais",B509)),ISNUMBER(SEARCH("russe",B509)),ISNUMBER(SEARCH("portugais",B509)),ISNUMBER(SEARCH("danois",B509)),ISNUMBER(SEARCH("norvégien",B509)),ISNUMBER(SEARCH("suédois",B509)),ISNUMBER(SEARCH("finlandais",B509)),ISNUMBER(SEARCH("polonais",B509)),ISNUMBER(SEARCH("tchèque",B509)),ISNUMBER(SEARCH("hongrois",B509)),ISNUMBER(SEARCH("grec",B509)),ISNUMBER(SEARCH("byzantin",B509)),ISNUMBER(SEARCH("croate",B509)),ISNUMBER(SEARCH("ukrainien",B509)),ISNUMBER(SEARCH("bulgare",B509)),ISNUMBER(SEARCH("biélorusse",B509)),ISNUMBER(SEARCH("maltais",B509))),"Autres pays d'Europe",IF(OR(ISNUMBER(SEARCH("américain",B509)),ISNUMBER(SEARCH("mexicain",B509)),ISNUMBER(SEARCH("canadien",B509)),ISNUMBER(SEARCH("brésilien",B509)),ISNUMBER(SEARCH("argentin",B509))),"Amérique",IF(OR(ISNUMBER(SEARCH("chinois",B509)),ISNUMBER(SEARCH("japonais",B509)),ISNUMBER(SEARCH("coréen",B509)),ISNUMBER(SEARCH("indien",B509)),ISNUMBER(SEARCH("persan",B509)),ISNUMBER(SEARCH("iranien",B509))),"Asie","(non classée)"))))</f>
        <v/>
      </c>
    </row>
    <row r="510">
      <c r="A510" s="2" t="inlineStr">
        <is>
          <t>LUCAS CRANACH L'ANCIEN</t>
        </is>
      </c>
      <c r="B510" s="2" t="inlineStr">
        <is>
          <t>allemande</t>
        </is>
      </c>
      <c r="C510" s="2" t="inlineStr">
        <is>
          <t>peinture</t>
        </is>
      </c>
      <c r="D510" s="2" t="inlineStr">
        <is>
          <t>16e</t>
        </is>
      </c>
      <c r="U510">
        <f>IF(ISNUMBER(SEARCH("fran",B510)),"France",IF(OR(ISNUMBER(SEARCH("italien",B510)),ISNUMBER(SEARCH("espagn",B510)),ISNUMBER(SEARCH("catalan",B510)),ISNUMBER(SEARCH("flamand",B510)),ISNUMBER(SEARCH("belge",B510)),ISNUMBER(SEARCH("hollandais",B510)),ISNUMBER(SEARCH("néerlandais",B510)),ISNUMBER(SEARCH("allemand",B510)),ISNUMBER(SEARCH("autrichien",B510)),ISNUMBER(SEARCH("suisse",B510)),ISNUMBER(SEARCH("anglais",B510)),ISNUMBER(SEARCH("britannique",B510)),ISNUMBER(SEARCH("écossais",B510)),ISNUMBER(SEARCH("irlandais",B510)),ISNUMBER(SEARCH("russe",B510)),ISNUMBER(SEARCH("portugais",B510)),ISNUMBER(SEARCH("danois",B510)),ISNUMBER(SEARCH("norvégien",B510)),ISNUMBER(SEARCH("suédois",B510)),ISNUMBER(SEARCH("finlandais",B510)),ISNUMBER(SEARCH("polonais",B510)),ISNUMBER(SEARCH("tchèque",B510)),ISNUMBER(SEARCH("hongrois",B510)),ISNUMBER(SEARCH("grec",B510)),ISNUMBER(SEARCH("byzantin",B510)),ISNUMBER(SEARCH("croate",B510)),ISNUMBER(SEARCH("ukrainien",B510)),ISNUMBER(SEARCH("bulgare",B510)),ISNUMBER(SEARCH("biélorusse",B510)),ISNUMBER(SEARCH("maltais",B510))),"Autres pays d'Europe",IF(OR(ISNUMBER(SEARCH("américain",B510)),ISNUMBER(SEARCH("mexicain",B510)),ISNUMBER(SEARCH("canadien",B510)),ISNUMBER(SEARCH("brésilien",B510)),ISNUMBER(SEARCH("argentin",B510))),"Amérique",IF(OR(ISNUMBER(SEARCH("chinois",B510)),ISNUMBER(SEARCH("japonais",B510)),ISNUMBER(SEARCH("coréen",B510)),ISNUMBER(SEARCH("indien",B510)),ISNUMBER(SEARCH("persan",B510)),ISNUMBER(SEARCH("iranien",B510))),"Asie","(non classée)"))))</f>
        <v/>
      </c>
    </row>
    <row r="511">
      <c r="A511" s="2" t="inlineStr">
        <is>
          <t>LUCAS CRANACH LE JEUNE</t>
        </is>
      </c>
      <c r="B511" s="2" t="inlineStr">
        <is>
          <t>allemande</t>
        </is>
      </c>
      <c r="C511" s="2" t="inlineStr">
        <is>
          <t>peinture</t>
        </is>
      </c>
      <c r="D511" s="2" t="inlineStr">
        <is>
          <t>16e</t>
        </is>
      </c>
      <c r="U511">
        <f>IF(ISNUMBER(SEARCH("fran",B511)),"France",IF(OR(ISNUMBER(SEARCH("italien",B511)),ISNUMBER(SEARCH("espagn",B511)),ISNUMBER(SEARCH("catalan",B511)),ISNUMBER(SEARCH("flamand",B511)),ISNUMBER(SEARCH("belge",B511)),ISNUMBER(SEARCH("hollandais",B511)),ISNUMBER(SEARCH("néerlandais",B511)),ISNUMBER(SEARCH("allemand",B511)),ISNUMBER(SEARCH("autrichien",B511)),ISNUMBER(SEARCH("suisse",B511)),ISNUMBER(SEARCH("anglais",B511)),ISNUMBER(SEARCH("britannique",B511)),ISNUMBER(SEARCH("écossais",B511)),ISNUMBER(SEARCH("irlandais",B511)),ISNUMBER(SEARCH("russe",B511)),ISNUMBER(SEARCH("portugais",B511)),ISNUMBER(SEARCH("danois",B511)),ISNUMBER(SEARCH("norvégien",B511)),ISNUMBER(SEARCH("suédois",B511)),ISNUMBER(SEARCH("finlandais",B511)),ISNUMBER(SEARCH("polonais",B511)),ISNUMBER(SEARCH("tchèque",B511)),ISNUMBER(SEARCH("hongrois",B511)),ISNUMBER(SEARCH("grec",B511)),ISNUMBER(SEARCH("byzantin",B511)),ISNUMBER(SEARCH("croate",B511)),ISNUMBER(SEARCH("ukrainien",B511)),ISNUMBER(SEARCH("bulgare",B511)),ISNUMBER(SEARCH("biélorusse",B511)),ISNUMBER(SEARCH("maltais",B511))),"Autres pays d'Europe",IF(OR(ISNUMBER(SEARCH("américain",B511)),ISNUMBER(SEARCH("mexicain",B511)),ISNUMBER(SEARCH("canadien",B511)),ISNUMBER(SEARCH("brésilien",B511)),ISNUMBER(SEARCH("argentin",B511))),"Amérique",IF(OR(ISNUMBER(SEARCH("chinois",B511)),ISNUMBER(SEARCH("japonais",B511)),ISNUMBER(SEARCH("coréen",B511)),ISNUMBER(SEARCH("indien",B511)),ISNUMBER(SEARCH("persan",B511)),ISNUMBER(SEARCH("iranien",B511))),"Asie","(non classée)"))))</f>
        <v/>
      </c>
    </row>
    <row r="512">
      <c r="A512" s="2" t="inlineStr">
        <is>
          <t>LUCAS FAYDHERBE</t>
        </is>
      </c>
      <c r="B512" s="2" t="inlineStr">
        <is>
          <t>flamande (Belgique)</t>
        </is>
      </c>
      <c r="C512" s="2" t="inlineStr">
        <is>
          <t>sculpture</t>
        </is>
      </c>
      <c r="D512" s="2" t="inlineStr">
        <is>
          <t>17e</t>
        </is>
      </c>
      <c r="U512">
        <f>IF(ISNUMBER(SEARCH("fran",B512)),"France",IF(OR(ISNUMBER(SEARCH("italien",B512)),ISNUMBER(SEARCH("espagn",B512)),ISNUMBER(SEARCH("catalan",B512)),ISNUMBER(SEARCH("flamand",B512)),ISNUMBER(SEARCH("belge",B512)),ISNUMBER(SEARCH("hollandais",B512)),ISNUMBER(SEARCH("néerlandais",B512)),ISNUMBER(SEARCH("allemand",B512)),ISNUMBER(SEARCH("autrichien",B512)),ISNUMBER(SEARCH("suisse",B512)),ISNUMBER(SEARCH("anglais",B512)),ISNUMBER(SEARCH("britannique",B512)),ISNUMBER(SEARCH("écossais",B512)),ISNUMBER(SEARCH("irlandais",B512)),ISNUMBER(SEARCH("russe",B512)),ISNUMBER(SEARCH("portugais",B512)),ISNUMBER(SEARCH("danois",B512)),ISNUMBER(SEARCH("norvégien",B512)),ISNUMBER(SEARCH("suédois",B512)),ISNUMBER(SEARCH("finlandais",B512)),ISNUMBER(SEARCH("polonais",B512)),ISNUMBER(SEARCH("tchèque",B512)),ISNUMBER(SEARCH("hongrois",B512)),ISNUMBER(SEARCH("grec",B512)),ISNUMBER(SEARCH("byzantin",B512)),ISNUMBER(SEARCH("croate",B512)),ISNUMBER(SEARCH("ukrainien",B512)),ISNUMBER(SEARCH("bulgare",B512)),ISNUMBER(SEARCH("biélorusse",B512)),ISNUMBER(SEARCH("maltais",B512))),"Autres pays d'Europe",IF(OR(ISNUMBER(SEARCH("américain",B512)),ISNUMBER(SEARCH("mexicain",B512)),ISNUMBER(SEARCH("canadien",B512)),ISNUMBER(SEARCH("brésilien",B512)),ISNUMBER(SEARCH("argentin",B512))),"Amérique",IF(OR(ISNUMBER(SEARCH("chinois",B512)),ISNUMBER(SEARCH("japonais",B512)),ISNUMBER(SEARCH("coréen",B512)),ISNUMBER(SEARCH("indien",B512)),ISNUMBER(SEARCH("persan",B512)),ISNUMBER(SEARCH("iranien",B512))),"Asie","(non classée)"))))</f>
        <v/>
      </c>
    </row>
    <row r="513">
      <c r="A513" s="2" t="inlineStr">
        <is>
          <t>LUCAS HORENBOUT</t>
        </is>
      </c>
      <c r="B513" s="2" t="inlineStr">
        <is>
          <t>anglaise (Royaume-Uni)</t>
        </is>
      </c>
      <c r="C513" s="2" t="inlineStr">
        <is>
          <t>peinture</t>
        </is>
      </c>
      <c r="D513" s="2" t="inlineStr">
        <is>
          <t>16e</t>
        </is>
      </c>
      <c r="U513">
        <f>IF(ISNUMBER(SEARCH("fran",B513)),"France",IF(OR(ISNUMBER(SEARCH("italien",B513)),ISNUMBER(SEARCH("espagn",B513)),ISNUMBER(SEARCH("catalan",B513)),ISNUMBER(SEARCH("flamand",B513)),ISNUMBER(SEARCH("belge",B513)),ISNUMBER(SEARCH("hollandais",B513)),ISNUMBER(SEARCH("néerlandais",B513)),ISNUMBER(SEARCH("allemand",B513)),ISNUMBER(SEARCH("autrichien",B513)),ISNUMBER(SEARCH("suisse",B513)),ISNUMBER(SEARCH("anglais",B513)),ISNUMBER(SEARCH("britannique",B513)),ISNUMBER(SEARCH("écossais",B513)),ISNUMBER(SEARCH("irlandais",B513)),ISNUMBER(SEARCH("russe",B513)),ISNUMBER(SEARCH("portugais",B513)),ISNUMBER(SEARCH("danois",B513)),ISNUMBER(SEARCH("norvégien",B513)),ISNUMBER(SEARCH("suédois",B513)),ISNUMBER(SEARCH("finlandais",B513)),ISNUMBER(SEARCH("polonais",B513)),ISNUMBER(SEARCH("tchèque",B513)),ISNUMBER(SEARCH("hongrois",B513)),ISNUMBER(SEARCH("grec",B513)),ISNUMBER(SEARCH("byzantin",B513)),ISNUMBER(SEARCH("croate",B513)),ISNUMBER(SEARCH("ukrainien",B513)),ISNUMBER(SEARCH("bulgare",B513)),ISNUMBER(SEARCH("biélorusse",B513)),ISNUMBER(SEARCH("maltais",B513))),"Autres pays d'Europe",IF(OR(ISNUMBER(SEARCH("américain",B513)),ISNUMBER(SEARCH("mexicain",B513)),ISNUMBER(SEARCH("canadien",B513)),ISNUMBER(SEARCH("brésilien",B513)),ISNUMBER(SEARCH("argentin",B513))),"Amérique",IF(OR(ISNUMBER(SEARCH("chinois",B513)),ISNUMBER(SEARCH("japonais",B513)),ISNUMBER(SEARCH("coréen",B513)),ISNUMBER(SEARCH("indien",B513)),ISNUMBER(SEARCH("persan",B513)),ISNUMBER(SEARCH("iranien",B513))),"Asie","(non classée)"))))</f>
        <v/>
      </c>
    </row>
    <row r="514">
      <c r="A514" s="2" t="inlineStr">
        <is>
          <t>LUCAS VAN LEYDEN</t>
        </is>
      </c>
      <c r="B514" s="2" t="inlineStr">
        <is>
          <t>allemande</t>
        </is>
      </c>
      <c r="C514" s="2" t="inlineStr">
        <is>
          <t>peinture</t>
        </is>
      </c>
      <c r="D514" s="2" t="inlineStr">
        <is>
          <t>16e</t>
        </is>
      </c>
      <c r="U514">
        <f>IF(ISNUMBER(SEARCH("fran",B514)),"France",IF(OR(ISNUMBER(SEARCH("italien",B514)),ISNUMBER(SEARCH("espagn",B514)),ISNUMBER(SEARCH("catalan",B514)),ISNUMBER(SEARCH("flamand",B514)),ISNUMBER(SEARCH("belge",B514)),ISNUMBER(SEARCH("hollandais",B514)),ISNUMBER(SEARCH("néerlandais",B514)),ISNUMBER(SEARCH("allemand",B514)),ISNUMBER(SEARCH("autrichien",B514)),ISNUMBER(SEARCH("suisse",B514)),ISNUMBER(SEARCH("anglais",B514)),ISNUMBER(SEARCH("britannique",B514)),ISNUMBER(SEARCH("écossais",B514)),ISNUMBER(SEARCH("irlandais",B514)),ISNUMBER(SEARCH("russe",B514)),ISNUMBER(SEARCH("portugais",B514)),ISNUMBER(SEARCH("danois",B514)),ISNUMBER(SEARCH("norvégien",B514)),ISNUMBER(SEARCH("suédois",B514)),ISNUMBER(SEARCH("finlandais",B514)),ISNUMBER(SEARCH("polonais",B514)),ISNUMBER(SEARCH("tchèque",B514)),ISNUMBER(SEARCH("hongrois",B514)),ISNUMBER(SEARCH("grec",B514)),ISNUMBER(SEARCH("byzantin",B514)),ISNUMBER(SEARCH("croate",B514)),ISNUMBER(SEARCH("ukrainien",B514)),ISNUMBER(SEARCH("bulgare",B514)),ISNUMBER(SEARCH("biélorusse",B514)),ISNUMBER(SEARCH("maltais",B514))),"Autres pays d'Europe",IF(OR(ISNUMBER(SEARCH("américain",B514)),ISNUMBER(SEARCH("mexicain",B514)),ISNUMBER(SEARCH("canadien",B514)),ISNUMBER(SEARCH("brésilien",B514)),ISNUMBER(SEARCH("argentin",B514))),"Amérique",IF(OR(ISNUMBER(SEARCH("chinois",B514)),ISNUMBER(SEARCH("japonais",B514)),ISNUMBER(SEARCH("coréen",B514)),ISNUMBER(SEARCH("indien",B514)),ISNUMBER(SEARCH("persan",B514)),ISNUMBER(SEARCH("iranien",B514))),"Asie","(non classée)"))))</f>
        <v/>
      </c>
    </row>
    <row r="515">
      <c r="A515" s="2" t="inlineStr">
        <is>
          <t>LUIS MELÉNDEZ</t>
        </is>
      </c>
      <c r="B515" s="2" t="inlineStr">
        <is>
          <t>espagnole</t>
        </is>
      </c>
      <c r="C515" s="2" t="inlineStr">
        <is>
          <t>peinture</t>
        </is>
      </c>
      <c r="D515" s="2" t="inlineStr">
        <is>
          <t>18e</t>
        </is>
      </c>
      <c r="U515">
        <f>IF(ISNUMBER(SEARCH("fran",B515)),"France",IF(OR(ISNUMBER(SEARCH("italien",B515)),ISNUMBER(SEARCH("espagn",B515)),ISNUMBER(SEARCH("catalan",B515)),ISNUMBER(SEARCH("flamand",B515)),ISNUMBER(SEARCH("belge",B515)),ISNUMBER(SEARCH("hollandais",B515)),ISNUMBER(SEARCH("néerlandais",B515)),ISNUMBER(SEARCH("allemand",B515)),ISNUMBER(SEARCH("autrichien",B515)),ISNUMBER(SEARCH("suisse",B515)),ISNUMBER(SEARCH("anglais",B515)),ISNUMBER(SEARCH("britannique",B515)),ISNUMBER(SEARCH("écossais",B515)),ISNUMBER(SEARCH("irlandais",B515)),ISNUMBER(SEARCH("russe",B515)),ISNUMBER(SEARCH("portugais",B515)),ISNUMBER(SEARCH("danois",B515)),ISNUMBER(SEARCH("norvégien",B515)),ISNUMBER(SEARCH("suédois",B515)),ISNUMBER(SEARCH("finlandais",B515)),ISNUMBER(SEARCH("polonais",B515)),ISNUMBER(SEARCH("tchèque",B515)),ISNUMBER(SEARCH("hongrois",B515)),ISNUMBER(SEARCH("grec",B515)),ISNUMBER(SEARCH("byzantin",B515)),ISNUMBER(SEARCH("croate",B515)),ISNUMBER(SEARCH("ukrainien",B515)),ISNUMBER(SEARCH("bulgare",B515)),ISNUMBER(SEARCH("biélorusse",B515)),ISNUMBER(SEARCH("maltais",B515))),"Autres pays d'Europe",IF(OR(ISNUMBER(SEARCH("américain",B515)),ISNUMBER(SEARCH("mexicain",B515)),ISNUMBER(SEARCH("canadien",B515)),ISNUMBER(SEARCH("brésilien",B515)),ISNUMBER(SEARCH("argentin",B515))),"Amérique",IF(OR(ISNUMBER(SEARCH("chinois",B515)),ISNUMBER(SEARCH("japonais",B515)),ISNUMBER(SEARCH("coréen",B515)),ISNUMBER(SEARCH("indien",B515)),ISNUMBER(SEARCH("persan",B515)),ISNUMBER(SEARCH("iranien",B515))),"Asie","(non classée)"))))</f>
        <v/>
      </c>
    </row>
    <row r="516">
      <c r="A516" s="2" t="inlineStr">
        <is>
          <t>LUIS SALVADOR CARMONA</t>
        </is>
      </c>
      <c r="B516" s="2" t="inlineStr">
        <is>
          <t>espagnole</t>
        </is>
      </c>
      <c r="C516" s="2" t="inlineStr">
        <is>
          <t>sculpture</t>
        </is>
      </c>
      <c r="D516" s="2" t="inlineStr">
        <is>
          <t>18e</t>
        </is>
      </c>
      <c r="U516">
        <f>IF(ISNUMBER(SEARCH("fran",B516)),"France",IF(OR(ISNUMBER(SEARCH("italien",B516)),ISNUMBER(SEARCH("espagn",B516)),ISNUMBER(SEARCH("catalan",B516)),ISNUMBER(SEARCH("flamand",B516)),ISNUMBER(SEARCH("belge",B516)),ISNUMBER(SEARCH("hollandais",B516)),ISNUMBER(SEARCH("néerlandais",B516)),ISNUMBER(SEARCH("allemand",B516)),ISNUMBER(SEARCH("autrichien",B516)),ISNUMBER(SEARCH("suisse",B516)),ISNUMBER(SEARCH("anglais",B516)),ISNUMBER(SEARCH("britannique",B516)),ISNUMBER(SEARCH("écossais",B516)),ISNUMBER(SEARCH("irlandais",B516)),ISNUMBER(SEARCH("russe",B516)),ISNUMBER(SEARCH("portugais",B516)),ISNUMBER(SEARCH("danois",B516)),ISNUMBER(SEARCH("norvégien",B516)),ISNUMBER(SEARCH("suédois",B516)),ISNUMBER(SEARCH("finlandais",B516)),ISNUMBER(SEARCH("polonais",B516)),ISNUMBER(SEARCH("tchèque",B516)),ISNUMBER(SEARCH("hongrois",B516)),ISNUMBER(SEARCH("grec",B516)),ISNUMBER(SEARCH("byzantin",B516)),ISNUMBER(SEARCH("croate",B516)),ISNUMBER(SEARCH("ukrainien",B516)),ISNUMBER(SEARCH("bulgare",B516)),ISNUMBER(SEARCH("biélorusse",B516)),ISNUMBER(SEARCH("maltais",B516))),"Autres pays d'Europe",IF(OR(ISNUMBER(SEARCH("américain",B516)),ISNUMBER(SEARCH("mexicain",B516)),ISNUMBER(SEARCH("canadien",B516)),ISNUMBER(SEARCH("brésilien",B516)),ISNUMBER(SEARCH("argentin",B516))),"Amérique",IF(OR(ISNUMBER(SEARCH("chinois",B516)),ISNUMBER(SEARCH("japonais",B516)),ISNUMBER(SEARCH("coréen",B516)),ISNUMBER(SEARCH("indien",B516)),ISNUMBER(SEARCH("persan",B516)),ISNUMBER(SEARCH("iranien",B516))),"Asie","(non classée)"))))</f>
        <v/>
      </c>
    </row>
    <row r="517">
      <c r="A517" s="2" t="inlineStr">
        <is>
          <t>LUIS DE MORALES</t>
        </is>
      </c>
      <c r="B517" s="2" t="inlineStr">
        <is>
          <t>espagnole</t>
        </is>
      </c>
      <c r="C517" s="2" t="inlineStr">
        <is>
          <t>peinture</t>
        </is>
      </c>
      <c r="D517" s="2" t="inlineStr">
        <is>
          <t>16e</t>
        </is>
      </c>
      <c r="U517">
        <f>IF(ISNUMBER(SEARCH("fran",B517)),"France",IF(OR(ISNUMBER(SEARCH("italien",B517)),ISNUMBER(SEARCH("espagn",B517)),ISNUMBER(SEARCH("catalan",B517)),ISNUMBER(SEARCH("flamand",B517)),ISNUMBER(SEARCH("belge",B517)),ISNUMBER(SEARCH("hollandais",B517)),ISNUMBER(SEARCH("néerlandais",B517)),ISNUMBER(SEARCH("allemand",B517)),ISNUMBER(SEARCH("autrichien",B517)),ISNUMBER(SEARCH("suisse",B517)),ISNUMBER(SEARCH("anglais",B517)),ISNUMBER(SEARCH("britannique",B517)),ISNUMBER(SEARCH("écossais",B517)),ISNUMBER(SEARCH("irlandais",B517)),ISNUMBER(SEARCH("russe",B517)),ISNUMBER(SEARCH("portugais",B517)),ISNUMBER(SEARCH("danois",B517)),ISNUMBER(SEARCH("norvégien",B517)),ISNUMBER(SEARCH("suédois",B517)),ISNUMBER(SEARCH("finlandais",B517)),ISNUMBER(SEARCH("polonais",B517)),ISNUMBER(SEARCH("tchèque",B517)),ISNUMBER(SEARCH("hongrois",B517)),ISNUMBER(SEARCH("grec",B517)),ISNUMBER(SEARCH("byzantin",B517)),ISNUMBER(SEARCH("croate",B517)),ISNUMBER(SEARCH("ukrainien",B517)),ISNUMBER(SEARCH("bulgare",B517)),ISNUMBER(SEARCH("biélorusse",B517)),ISNUMBER(SEARCH("maltais",B517))),"Autres pays d'Europe",IF(OR(ISNUMBER(SEARCH("américain",B517)),ISNUMBER(SEARCH("mexicain",B517)),ISNUMBER(SEARCH("canadien",B517)),ISNUMBER(SEARCH("brésilien",B517)),ISNUMBER(SEARCH("argentin",B517))),"Amérique",IF(OR(ISNUMBER(SEARCH("chinois",B517)),ISNUMBER(SEARCH("japonais",B517)),ISNUMBER(SEARCH("coréen",B517)),ISNUMBER(SEARCH("indien",B517)),ISNUMBER(SEARCH("persan",B517)),ISNUMBER(SEARCH("iranien",B517))),"Asie","(non classée)"))))</f>
        <v/>
      </c>
    </row>
    <row r="518">
      <c r="A518" s="2" t="inlineStr">
        <is>
          <t>LUISA ROLDÁN DITE LA ROLDANA</t>
        </is>
      </c>
      <c r="B518" s="2" t="inlineStr">
        <is>
          <t>espagnole</t>
        </is>
      </c>
      <c r="C518" s="2" t="inlineStr">
        <is>
          <t>sculpture</t>
        </is>
      </c>
      <c r="D518" s="2" t="inlineStr">
        <is>
          <t>17e</t>
        </is>
      </c>
      <c r="U518">
        <f>IF(ISNUMBER(SEARCH("fran",B518)),"France",IF(OR(ISNUMBER(SEARCH("italien",B518)),ISNUMBER(SEARCH("espagn",B518)),ISNUMBER(SEARCH("catalan",B518)),ISNUMBER(SEARCH("flamand",B518)),ISNUMBER(SEARCH("belge",B518)),ISNUMBER(SEARCH("hollandais",B518)),ISNUMBER(SEARCH("néerlandais",B518)),ISNUMBER(SEARCH("allemand",B518)),ISNUMBER(SEARCH("autrichien",B518)),ISNUMBER(SEARCH("suisse",B518)),ISNUMBER(SEARCH("anglais",B518)),ISNUMBER(SEARCH("britannique",B518)),ISNUMBER(SEARCH("écossais",B518)),ISNUMBER(SEARCH("irlandais",B518)),ISNUMBER(SEARCH("russe",B518)),ISNUMBER(SEARCH("portugais",B518)),ISNUMBER(SEARCH("danois",B518)),ISNUMBER(SEARCH("norvégien",B518)),ISNUMBER(SEARCH("suédois",B518)),ISNUMBER(SEARCH("finlandais",B518)),ISNUMBER(SEARCH("polonais",B518)),ISNUMBER(SEARCH("tchèque",B518)),ISNUMBER(SEARCH("hongrois",B518)),ISNUMBER(SEARCH("grec",B518)),ISNUMBER(SEARCH("byzantin",B518)),ISNUMBER(SEARCH("croate",B518)),ISNUMBER(SEARCH("ukrainien",B518)),ISNUMBER(SEARCH("bulgare",B518)),ISNUMBER(SEARCH("biélorusse",B518)),ISNUMBER(SEARCH("maltais",B518))),"Autres pays d'Europe",IF(OR(ISNUMBER(SEARCH("américain",B518)),ISNUMBER(SEARCH("mexicain",B518)),ISNUMBER(SEARCH("canadien",B518)),ISNUMBER(SEARCH("brésilien",B518)),ISNUMBER(SEARCH("argentin",B518))),"Amérique",IF(OR(ISNUMBER(SEARCH("chinois",B518)),ISNUMBER(SEARCH("japonais",B518)),ISNUMBER(SEARCH("coréen",B518)),ISNUMBER(SEARCH("indien",B518)),ISNUMBER(SEARCH("persan",B518)),ISNUMBER(SEARCH("iranien",B518))),"Asie","(non classée)"))))</f>
        <v/>
      </c>
    </row>
    <row r="519">
      <c r="A519" s="2" t="inlineStr">
        <is>
          <t>LUPO DI FRANCESCO</t>
        </is>
      </c>
      <c r="B519" s="2" t="inlineStr">
        <is>
          <t>italienne</t>
        </is>
      </c>
      <c r="C519" s="2" t="inlineStr">
        <is>
          <t>sculpture</t>
        </is>
      </c>
      <c r="D519" s="2" t="inlineStr">
        <is>
          <t>14e</t>
        </is>
      </c>
      <c r="U519">
        <f>IF(ISNUMBER(SEARCH("fran",B519)),"France",IF(OR(ISNUMBER(SEARCH("italien",B519)),ISNUMBER(SEARCH("espagn",B519)),ISNUMBER(SEARCH("catalan",B519)),ISNUMBER(SEARCH("flamand",B519)),ISNUMBER(SEARCH("belge",B519)),ISNUMBER(SEARCH("hollandais",B519)),ISNUMBER(SEARCH("néerlandais",B519)),ISNUMBER(SEARCH("allemand",B519)),ISNUMBER(SEARCH("autrichien",B519)),ISNUMBER(SEARCH("suisse",B519)),ISNUMBER(SEARCH("anglais",B519)),ISNUMBER(SEARCH("britannique",B519)),ISNUMBER(SEARCH("écossais",B519)),ISNUMBER(SEARCH("irlandais",B519)),ISNUMBER(SEARCH("russe",B519)),ISNUMBER(SEARCH("portugais",B519)),ISNUMBER(SEARCH("danois",B519)),ISNUMBER(SEARCH("norvégien",B519)),ISNUMBER(SEARCH("suédois",B519)),ISNUMBER(SEARCH("finlandais",B519)),ISNUMBER(SEARCH("polonais",B519)),ISNUMBER(SEARCH("tchèque",B519)),ISNUMBER(SEARCH("hongrois",B519)),ISNUMBER(SEARCH("grec",B519)),ISNUMBER(SEARCH("byzantin",B519)),ISNUMBER(SEARCH("croate",B519)),ISNUMBER(SEARCH("ukrainien",B519)),ISNUMBER(SEARCH("bulgare",B519)),ISNUMBER(SEARCH("biélorusse",B519)),ISNUMBER(SEARCH("maltais",B519))),"Autres pays d'Europe",IF(OR(ISNUMBER(SEARCH("américain",B519)),ISNUMBER(SEARCH("mexicain",B519)),ISNUMBER(SEARCH("canadien",B519)),ISNUMBER(SEARCH("brésilien",B519)),ISNUMBER(SEARCH("argentin",B519))),"Amérique",IF(OR(ISNUMBER(SEARCH("chinois",B519)),ISNUMBER(SEARCH("japonais",B519)),ISNUMBER(SEARCH("coréen",B519)),ISNUMBER(SEARCH("indien",B519)),ISNUMBER(SEARCH("persan",B519)),ISNUMBER(SEARCH("iranien",B519))),"Asie","(non classée)"))))</f>
        <v/>
      </c>
    </row>
    <row r="520">
      <c r="A520" s="2" t="inlineStr">
        <is>
          <t>LÉONARD DE VINCI</t>
        </is>
      </c>
      <c r="B520" s="2" t="inlineStr">
        <is>
          <t>italienne</t>
        </is>
      </c>
      <c r="C520" s="2" t="inlineStr">
        <is>
          <t>peinture</t>
        </is>
      </c>
      <c r="D520" s="2" t="inlineStr">
        <is>
          <t>16e</t>
        </is>
      </c>
      <c r="U520">
        <f>IF(ISNUMBER(SEARCH("fran",B520)),"France",IF(OR(ISNUMBER(SEARCH("italien",B520)),ISNUMBER(SEARCH("espagn",B520)),ISNUMBER(SEARCH("catalan",B520)),ISNUMBER(SEARCH("flamand",B520)),ISNUMBER(SEARCH("belge",B520)),ISNUMBER(SEARCH("hollandais",B520)),ISNUMBER(SEARCH("néerlandais",B520)),ISNUMBER(SEARCH("allemand",B520)),ISNUMBER(SEARCH("autrichien",B520)),ISNUMBER(SEARCH("suisse",B520)),ISNUMBER(SEARCH("anglais",B520)),ISNUMBER(SEARCH("britannique",B520)),ISNUMBER(SEARCH("écossais",B520)),ISNUMBER(SEARCH("irlandais",B520)),ISNUMBER(SEARCH("russe",B520)),ISNUMBER(SEARCH("portugais",B520)),ISNUMBER(SEARCH("danois",B520)),ISNUMBER(SEARCH("norvégien",B520)),ISNUMBER(SEARCH("suédois",B520)),ISNUMBER(SEARCH("finlandais",B520)),ISNUMBER(SEARCH("polonais",B520)),ISNUMBER(SEARCH("tchèque",B520)),ISNUMBER(SEARCH("hongrois",B520)),ISNUMBER(SEARCH("grec",B520)),ISNUMBER(SEARCH("byzantin",B520)),ISNUMBER(SEARCH("croate",B520)),ISNUMBER(SEARCH("ukrainien",B520)),ISNUMBER(SEARCH("bulgare",B520)),ISNUMBER(SEARCH("biélorusse",B520)),ISNUMBER(SEARCH("maltais",B520))),"Autres pays d'Europe",IF(OR(ISNUMBER(SEARCH("américain",B520)),ISNUMBER(SEARCH("mexicain",B520)),ISNUMBER(SEARCH("canadien",B520)),ISNUMBER(SEARCH("brésilien",B520)),ISNUMBER(SEARCH("argentin",B520))),"Amérique",IF(OR(ISNUMBER(SEARCH("chinois",B520)),ISNUMBER(SEARCH("japonais",B520)),ISNUMBER(SEARCH("coréen",B520)),ISNUMBER(SEARCH("indien",B520)),ISNUMBER(SEARCH("persan",B520)),ISNUMBER(SEARCH("iranien",B520))),"Asie","(non classée)"))))</f>
        <v/>
      </c>
    </row>
    <row r="521">
      <c r="A521" s="2" t="inlineStr">
        <is>
          <t>LÁSZLÓ MOHOLY-NAGY</t>
        </is>
      </c>
      <c r="B521" s="2" t="inlineStr">
        <is>
          <t>hongroise</t>
        </is>
      </c>
      <c r="C521" s="2" t="inlineStr">
        <is>
          <t>peinture</t>
        </is>
      </c>
      <c r="D521" s="2" t="inlineStr">
        <is>
          <t>20e</t>
        </is>
      </c>
      <c r="U521">
        <f>IF(ISNUMBER(SEARCH("fran",B521)),"France",IF(OR(ISNUMBER(SEARCH("italien",B521)),ISNUMBER(SEARCH("espagn",B521)),ISNUMBER(SEARCH("catalan",B521)),ISNUMBER(SEARCH("flamand",B521)),ISNUMBER(SEARCH("belge",B521)),ISNUMBER(SEARCH("hollandais",B521)),ISNUMBER(SEARCH("néerlandais",B521)),ISNUMBER(SEARCH("allemand",B521)),ISNUMBER(SEARCH("autrichien",B521)),ISNUMBER(SEARCH("suisse",B521)),ISNUMBER(SEARCH("anglais",B521)),ISNUMBER(SEARCH("britannique",B521)),ISNUMBER(SEARCH("écossais",B521)),ISNUMBER(SEARCH("irlandais",B521)),ISNUMBER(SEARCH("russe",B521)),ISNUMBER(SEARCH("portugais",B521)),ISNUMBER(SEARCH("danois",B521)),ISNUMBER(SEARCH("norvégien",B521)),ISNUMBER(SEARCH("suédois",B521)),ISNUMBER(SEARCH("finlandais",B521)),ISNUMBER(SEARCH("polonais",B521)),ISNUMBER(SEARCH("tchèque",B521)),ISNUMBER(SEARCH("hongrois",B521)),ISNUMBER(SEARCH("grec",B521)),ISNUMBER(SEARCH("byzantin",B521)),ISNUMBER(SEARCH("croate",B521)),ISNUMBER(SEARCH("ukrainien",B521)),ISNUMBER(SEARCH("bulgare",B521)),ISNUMBER(SEARCH("biélorusse",B521)),ISNUMBER(SEARCH("maltais",B521))),"Autres pays d'Europe",IF(OR(ISNUMBER(SEARCH("américain",B521)),ISNUMBER(SEARCH("mexicain",B521)),ISNUMBER(SEARCH("canadien",B521)),ISNUMBER(SEARCH("brésilien",B521)),ISNUMBER(SEARCH("argentin",B521))),"Amérique",IF(OR(ISNUMBER(SEARCH("chinois",B521)),ISNUMBER(SEARCH("japonais",B521)),ISNUMBER(SEARCH("coréen",B521)),ISNUMBER(SEARCH("indien",B521)),ISNUMBER(SEARCH("persan",B521)),ISNUMBER(SEARCH("iranien",B521))),"Asie","(non classée)"))))</f>
        <v/>
      </c>
    </row>
    <row r="522">
      <c r="A522" s="2" t="inlineStr">
        <is>
          <t>LÉON BAKST</t>
        </is>
      </c>
      <c r="B522" s="2" t="inlineStr">
        <is>
          <t>russe</t>
        </is>
      </c>
      <c r="C522" s="2" t="inlineStr">
        <is>
          <t>peinture</t>
        </is>
      </c>
      <c r="D522" s="2" t="inlineStr">
        <is>
          <t>20e</t>
        </is>
      </c>
      <c r="U522">
        <f>IF(ISNUMBER(SEARCH("fran",B522)),"France",IF(OR(ISNUMBER(SEARCH("italien",B522)),ISNUMBER(SEARCH("espagn",B522)),ISNUMBER(SEARCH("catalan",B522)),ISNUMBER(SEARCH("flamand",B522)),ISNUMBER(SEARCH("belge",B522)),ISNUMBER(SEARCH("hollandais",B522)),ISNUMBER(SEARCH("néerlandais",B522)),ISNUMBER(SEARCH("allemand",B522)),ISNUMBER(SEARCH("autrichien",B522)),ISNUMBER(SEARCH("suisse",B522)),ISNUMBER(SEARCH("anglais",B522)),ISNUMBER(SEARCH("britannique",B522)),ISNUMBER(SEARCH("écossais",B522)),ISNUMBER(SEARCH("irlandais",B522)),ISNUMBER(SEARCH("russe",B522)),ISNUMBER(SEARCH("portugais",B522)),ISNUMBER(SEARCH("danois",B522)),ISNUMBER(SEARCH("norvégien",B522)),ISNUMBER(SEARCH("suédois",B522)),ISNUMBER(SEARCH("finlandais",B522)),ISNUMBER(SEARCH("polonais",B522)),ISNUMBER(SEARCH("tchèque",B522)),ISNUMBER(SEARCH("hongrois",B522)),ISNUMBER(SEARCH("grec",B522)),ISNUMBER(SEARCH("byzantin",B522)),ISNUMBER(SEARCH("croate",B522)),ISNUMBER(SEARCH("ukrainien",B522)),ISNUMBER(SEARCH("bulgare",B522)),ISNUMBER(SEARCH("biélorusse",B522)),ISNUMBER(SEARCH("maltais",B522))),"Autres pays d'Europe",IF(OR(ISNUMBER(SEARCH("américain",B522)),ISNUMBER(SEARCH("mexicain",B522)),ISNUMBER(SEARCH("canadien",B522)),ISNUMBER(SEARCH("brésilien",B522)),ISNUMBER(SEARCH("argentin",B522))),"Amérique",IF(OR(ISNUMBER(SEARCH("chinois",B522)),ISNUMBER(SEARCH("japonais",B522)),ISNUMBER(SEARCH("coréen",B522)),ISNUMBER(SEARCH("indien",B522)),ISNUMBER(SEARCH("persan",B522)),ISNUMBER(SEARCH("iranien",B522))),"Asie","(non classée)"))))</f>
        <v/>
      </c>
    </row>
    <row r="523">
      <c r="A523" s="2" t="inlineStr">
        <is>
          <t>MASACCIO</t>
        </is>
      </c>
      <c r="B523" s="2" t="inlineStr">
        <is>
          <t>italienne</t>
        </is>
      </c>
      <c r="C523" s="2" t="inlineStr">
        <is>
          <t>peinture</t>
        </is>
      </c>
      <c r="D523" s="2" t="inlineStr">
        <is>
          <t>15e</t>
        </is>
      </c>
      <c r="U523">
        <f>IF(ISNUMBER(SEARCH("fran",B523)),"France",IF(OR(ISNUMBER(SEARCH("italien",B523)),ISNUMBER(SEARCH("espagn",B523)),ISNUMBER(SEARCH("catalan",B523)),ISNUMBER(SEARCH("flamand",B523)),ISNUMBER(SEARCH("belge",B523)),ISNUMBER(SEARCH("hollandais",B523)),ISNUMBER(SEARCH("néerlandais",B523)),ISNUMBER(SEARCH("allemand",B523)),ISNUMBER(SEARCH("autrichien",B523)),ISNUMBER(SEARCH("suisse",B523)),ISNUMBER(SEARCH("anglais",B523)),ISNUMBER(SEARCH("britannique",B523)),ISNUMBER(SEARCH("écossais",B523)),ISNUMBER(SEARCH("irlandais",B523)),ISNUMBER(SEARCH("russe",B523)),ISNUMBER(SEARCH("portugais",B523)),ISNUMBER(SEARCH("danois",B523)),ISNUMBER(SEARCH("norvégien",B523)),ISNUMBER(SEARCH("suédois",B523)),ISNUMBER(SEARCH("finlandais",B523)),ISNUMBER(SEARCH("polonais",B523)),ISNUMBER(SEARCH("tchèque",B523)),ISNUMBER(SEARCH("hongrois",B523)),ISNUMBER(SEARCH("grec",B523)),ISNUMBER(SEARCH("byzantin",B523)),ISNUMBER(SEARCH("croate",B523)),ISNUMBER(SEARCH("ukrainien",B523)),ISNUMBER(SEARCH("bulgare",B523)),ISNUMBER(SEARCH("biélorusse",B523)),ISNUMBER(SEARCH("maltais",B523))),"Autres pays d'Europe",IF(OR(ISNUMBER(SEARCH("américain",B523)),ISNUMBER(SEARCH("mexicain",B523)),ISNUMBER(SEARCH("canadien",B523)),ISNUMBER(SEARCH("brésilien",B523)),ISNUMBER(SEARCH("argentin",B523))),"Amérique",IF(OR(ISNUMBER(SEARCH("chinois",B523)),ISNUMBER(SEARCH("japonais",B523)),ISNUMBER(SEARCH("coréen",B523)),ISNUMBER(SEARCH("indien",B523)),ISNUMBER(SEARCH("persan",B523)),ISNUMBER(SEARCH("iranien",B523))),"Asie","(non classée)"))))</f>
        <v/>
      </c>
    </row>
    <row r="524">
      <c r="A524" s="2" t="inlineStr">
        <is>
          <t>MICHEL-ANGE (MICHELANGELO BUONARROTI)</t>
        </is>
      </c>
      <c r="B524" s="2" t="inlineStr">
        <is>
          <t>italienne</t>
        </is>
      </c>
      <c r="C524" s="2" t="inlineStr">
        <is>
          <t>peinture, sculpture</t>
        </is>
      </c>
      <c r="D524" s="2" t="inlineStr">
        <is>
          <t>16e</t>
        </is>
      </c>
      <c r="U524">
        <f>IF(ISNUMBER(SEARCH("fran",B524)),"France",IF(OR(ISNUMBER(SEARCH("italien",B524)),ISNUMBER(SEARCH("espagn",B524)),ISNUMBER(SEARCH("catalan",B524)),ISNUMBER(SEARCH("flamand",B524)),ISNUMBER(SEARCH("belge",B524)),ISNUMBER(SEARCH("hollandais",B524)),ISNUMBER(SEARCH("néerlandais",B524)),ISNUMBER(SEARCH("allemand",B524)),ISNUMBER(SEARCH("autrichien",B524)),ISNUMBER(SEARCH("suisse",B524)),ISNUMBER(SEARCH("anglais",B524)),ISNUMBER(SEARCH("britannique",B524)),ISNUMBER(SEARCH("écossais",B524)),ISNUMBER(SEARCH("irlandais",B524)),ISNUMBER(SEARCH("russe",B524)),ISNUMBER(SEARCH("portugais",B524)),ISNUMBER(SEARCH("danois",B524)),ISNUMBER(SEARCH("norvégien",B524)),ISNUMBER(SEARCH("suédois",B524)),ISNUMBER(SEARCH("finlandais",B524)),ISNUMBER(SEARCH("polonais",B524)),ISNUMBER(SEARCH("tchèque",B524)),ISNUMBER(SEARCH("hongrois",B524)),ISNUMBER(SEARCH("grec",B524)),ISNUMBER(SEARCH("byzantin",B524)),ISNUMBER(SEARCH("croate",B524)),ISNUMBER(SEARCH("ukrainien",B524)),ISNUMBER(SEARCH("bulgare",B524)),ISNUMBER(SEARCH("biélorusse",B524)),ISNUMBER(SEARCH("maltais",B524))),"Autres pays d'Europe",IF(OR(ISNUMBER(SEARCH("américain",B524)),ISNUMBER(SEARCH("mexicain",B524)),ISNUMBER(SEARCH("canadien",B524)),ISNUMBER(SEARCH("brésilien",B524)),ISNUMBER(SEARCH("argentin",B524))),"Amérique",IF(OR(ISNUMBER(SEARCH("chinois",B524)),ISNUMBER(SEARCH("japonais",B524)),ISNUMBER(SEARCH("coréen",B524)),ISNUMBER(SEARCH("indien",B524)),ISNUMBER(SEARCH("persan",B524)),ISNUMBER(SEARCH("iranien",B524))),"Asie","(non classée)"))))</f>
        <v/>
      </c>
    </row>
    <row r="525">
      <c r="A525" s="2" t="inlineStr">
        <is>
          <t>MICHELOZZO DI BARTOLOMEO</t>
        </is>
      </c>
      <c r="B525" s="2" t="inlineStr">
        <is>
          <t>italienne</t>
        </is>
      </c>
      <c r="C525" s="2" t="inlineStr">
        <is>
          <t>sculpture</t>
        </is>
      </c>
      <c r="D525" s="2" t="inlineStr">
        <is>
          <t>15e</t>
        </is>
      </c>
      <c r="U525">
        <f>IF(ISNUMBER(SEARCH("fran",B525)),"France",IF(OR(ISNUMBER(SEARCH("italien",B525)),ISNUMBER(SEARCH("espagn",B525)),ISNUMBER(SEARCH("catalan",B525)),ISNUMBER(SEARCH("flamand",B525)),ISNUMBER(SEARCH("belge",B525)),ISNUMBER(SEARCH("hollandais",B525)),ISNUMBER(SEARCH("néerlandais",B525)),ISNUMBER(SEARCH("allemand",B525)),ISNUMBER(SEARCH("autrichien",B525)),ISNUMBER(SEARCH("suisse",B525)),ISNUMBER(SEARCH("anglais",B525)),ISNUMBER(SEARCH("britannique",B525)),ISNUMBER(SEARCH("écossais",B525)),ISNUMBER(SEARCH("irlandais",B525)),ISNUMBER(SEARCH("russe",B525)),ISNUMBER(SEARCH("portugais",B525)),ISNUMBER(SEARCH("danois",B525)),ISNUMBER(SEARCH("norvégien",B525)),ISNUMBER(SEARCH("suédois",B525)),ISNUMBER(SEARCH("finlandais",B525)),ISNUMBER(SEARCH("polonais",B525)),ISNUMBER(SEARCH("tchèque",B525)),ISNUMBER(SEARCH("hongrois",B525)),ISNUMBER(SEARCH("grec",B525)),ISNUMBER(SEARCH("byzantin",B525)),ISNUMBER(SEARCH("croate",B525)),ISNUMBER(SEARCH("ukrainien",B525)),ISNUMBER(SEARCH("bulgare",B525)),ISNUMBER(SEARCH("biélorusse",B525)),ISNUMBER(SEARCH("maltais",B525))),"Autres pays d'Europe",IF(OR(ISNUMBER(SEARCH("américain",B525)),ISNUMBER(SEARCH("mexicain",B525)),ISNUMBER(SEARCH("canadien",B525)),ISNUMBER(SEARCH("brésilien",B525)),ISNUMBER(SEARCH("argentin",B525))),"Amérique",IF(OR(ISNUMBER(SEARCH("chinois",B525)),ISNUMBER(SEARCH("japonais",B525)),ISNUMBER(SEARCH("coréen",B525)),ISNUMBER(SEARCH("indien",B525)),ISNUMBER(SEARCH("persan",B525)),ISNUMBER(SEARCH("iranien",B525))),"Asie","(non classée)"))))</f>
        <v/>
      </c>
    </row>
    <row r="526">
      <c r="A526" s="2" t="inlineStr">
        <is>
          <t>MINO DA FIESOLE</t>
        </is>
      </c>
      <c r="B526" s="2" t="inlineStr">
        <is>
          <t>italienne</t>
        </is>
      </c>
      <c r="C526" s="2" t="inlineStr">
        <is>
          <t>sculpture</t>
        </is>
      </c>
      <c r="D526" s="2" t="inlineStr">
        <is>
          <t>15e</t>
        </is>
      </c>
      <c r="U526">
        <f>IF(ISNUMBER(SEARCH("fran",B526)),"France",IF(OR(ISNUMBER(SEARCH("italien",B526)),ISNUMBER(SEARCH("espagn",B526)),ISNUMBER(SEARCH("catalan",B526)),ISNUMBER(SEARCH("flamand",B526)),ISNUMBER(SEARCH("belge",B526)),ISNUMBER(SEARCH("hollandais",B526)),ISNUMBER(SEARCH("néerlandais",B526)),ISNUMBER(SEARCH("allemand",B526)),ISNUMBER(SEARCH("autrichien",B526)),ISNUMBER(SEARCH("suisse",B526)),ISNUMBER(SEARCH("anglais",B526)),ISNUMBER(SEARCH("britannique",B526)),ISNUMBER(SEARCH("écossais",B526)),ISNUMBER(SEARCH("irlandais",B526)),ISNUMBER(SEARCH("russe",B526)),ISNUMBER(SEARCH("portugais",B526)),ISNUMBER(SEARCH("danois",B526)),ISNUMBER(SEARCH("norvégien",B526)),ISNUMBER(SEARCH("suédois",B526)),ISNUMBER(SEARCH("finlandais",B526)),ISNUMBER(SEARCH("polonais",B526)),ISNUMBER(SEARCH("tchèque",B526)),ISNUMBER(SEARCH("hongrois",B526)),ISNUMBER(SEARCH("grec",B526)),ISNUMBER(SEARCH("byzantin",B526)),ISNUMBER(SEARCH("croate",B526)),ISNUMBER(SEARCH("ukrainien",B526)),ISNUMBER(SEARCH("bulgare",B526)),ISNUMBER(SEARCH("biélorusse",B526)),ISNUMBER(SEARCH("maltais",B526))),"Autres pays d'Europe",IF(OR(ISNUMBER(SEARCH("américain",B526)),ISNUMBER(SEARCH("mexicain",B526)),ISNUMBER(SEARCH("canadien",B526)),ISNUMBER(SEARCH("brésilien",B526)),ISNUMBER(SEARCH("argentin",B526))),"Amérique",IF(OR(ISNUMBER(SEARCH("chinois",B526)),ISNUMBER(SEARCH("japonais",B526)),ISNUMBER(SEARCH("coréen",B526)),ISNUMBER(SEARCH("indien",B526)),ISNUMBER(SEARCH("persan",B526)),ISNUMBER(SEARCH("iranien",B526))),"Asie","(non classée)"))))</f>
        <v/>
      </c>
    </row>
    <row r="527">
      <c r="A527" s="2" t="inlineStr">
        <is>
          <t>MANUEL PANSELINOS</t>
        </is>
      </c>
      <c r="B527" s="2" t="inlineStr">
        <is>
          <t>italienne</t>
        </is>
      </c>
      <c r="C527" s="2" t="inlineStr">
        <is>
          <t>peinture</t>
        </is>
      </c>
      <c r="D527" s="2" t="inlineStr">
        <is>
          <t>14e</t>
        </is>
      </c>
      <c r="U527">
        <f>IF(ISNUMBER(SEARCH("fran",B527)),"France",IF(OR(ISNUMBER(SEARCH("italien",B527)),ISNUMBER(SEARCH("espagn",B527)),ISNUMBER(SEARCH("catalan",B527)),ISNUMBER(SEARCH("flamand",B527)),ISNUMBER(SEARCH("belge",B527)),ISNUMBER(SEARCH("hollandais",B527)),ISNUMBER(SEARCH("néerlandais",B527)),ISNUMBER(SEARCH("allemand",B527)),ISNUMBER(SEARCH("autrichien",B527)),ISNUMBER(SEARCH("suisse",B527)),ISNUMBER(SEARCH("anglais",B527)),ISNUMBER(SEARCH("britannique",B527)),ISNUMBER(SEARCH("écossais",B527)),ISNUMBER(SEARCH("irlandais",B527)),ISNUMBER(SEARCH("russe",B527)),ISNUMBER(SEARCH("portugais",B527)),ISNUMBER(SEARCH("danois",B527)),ISNUMBER(SEARCH("norvégien",B527)),ISNUMBER(SEARCH("suédois",B527)),ISNUMBER(SEARCH("finlandais",B527)),ISNUMBER(SEARCH("polonais",B527)),ISNUMBER(SEARCH("tchèque",B527)),ISNUMBER(SEARCH("hongrois",B527)),ISNUMBER(SEARCH("grec",B527)),ISNUMBER(SEARCH("byzantin",B527)),ISNUMBER(SEARCH("croate",B527)),ISNUMBER(SEARCH("ukrainien",B527)),ISNUMBER(SEARCH("bulgare",B527)),ISNUMBER(SEARCH("biélorusse",B527)),ISNUMBER(SEARCH("maltais",B527))),"Autres pays d'Europe",IF(OR(ISNUMBER(SEARCH("américain",B527)),ISNUMBER(SEARCH("mexicain",B527)),ISNUMBER(SEARCH("canadien",B527)),ISNUMBER(SEARCH("brésilien",B527)),ISNUMBER(SEARCH("argentin",B527))),"Amérique",IF(OR(ISNUMBER(SEARCH("chinois",B527)),ISNUMBER(SEARCH("japonais",B527)),ISNUMBER(SEARCH("coréen",B527)),ISNUMBER(SEARCH("indien",B527)),ISNUMBER(SEARCH("persan",B527)),ISNUMBER(SEARCH("iranien",B527))),"Asie","(non classée)"))))</f>
        <v/>
      </c>
    </row>
    <row r="528">
      <c r="A528" s="2" t="inlineStr">
        <is>
          <t>MANUEL VILAR</t>
        </is>
      </c>
      <c r="B528" s="2" t="inlineStr">
        <is>
          <t>espagnole</t>
        </is>
      </c>
      <c r="C528" s="2" t="inlineStr">
        <is>
          <t>sculpture</t>
        </is>
      </c>
      <c r="D528" s="2" t="inlineStr">
        <is>
          <t>19e</t>
        </is>
      </c>
      <c r="U528">
        <f>IF(ISNUMBER(SEARCH("fran",B528)),"France",IF(OR(ISNUMBER(SEARCH("italien",B528)),ISNUMBER(SEARCH("espagn",B528)),ISNUMBER(SEARCH("catalan",B528)),ISNUMBER(SEARCH("flamand",B528)),ISNUMBER(SEARCH("belge",B528)),ISNUMBER(SEARCH("hollandais",B528)),ISNUMBER(SEARCH("néerlandais",B528)),ISNUMBER(SEARCH("allemand",B528)),ISNUMBER(SEARCH("autrichien",B528)),ISNUMBER(SEARCH("suisse",B528)),ISNUMBER(SEARCH("anglais",B528)),ISNUMBER(SEARCH("britannique",B528)),ISNUMBER(SEARCH("écossais",B528)),ISNUMBER(SEARCH("irlandais",B528)),ISNUMBER(SEARCH("russe",B528)),ISNUMBER(SEARCH("portugais",B528)),ISNUMBER(SEARCH("danois",B528)),ISNUMBER(SEARCH("norvégien",B528)),ISNUMBER(SEARCH("suédois",B528)),ISNUMBER(SEARCH("finlandais",B528)),ISNUMBER(SEARCH("polonais",B528)),ISNUMBER(SEARCH("tchèque",B528)),ISNUMBER(SEARCH("hongrois",B528)),ISNUMBER(SEARCH("grec",B528)),ISNUMBER(SEARCH("byzantin",B528)),ISNUMBER(SEARCH("croate",B528)),ISNUMBER(SEARCH("ukrainien",B528)),ISNUMBER(SEARCH("bulgare",B528)),ISNUMBER(SEARCH("biélorusse",B528)),ISNUMBER(SEARCH("maltais",B528))),"Autres pays d'Europe",IF(OR(ISNUMBER(SEARCH("américain",B528)),ISNUMBER(SEARCH("mexicain",B528)),ISNUMBER(SEARCH("canadien",B528)),ISNUMBER(SEARCH("brésilien",B528)),ISNUMBER(SEARCH("argentin",B528))),"Amérique",IF(OR(ISNUMBER(SEARCH("chinois",B528)),ISNUMBER(SEARCH("japonais",B528)),ISNUMBER(SEARCH("coréen",B528)),ISNUMBER(SEARCH("indien",B528)),ISNUMBER(SEARCH("persan",B528)),ISNUMBER(SEARCH("iranien",B528))),"Asie","(non classée)"))))</f>
        <v/>
      </c>
    </row>
    <row r="529">
      <c r="A529" s="2" t="inlineStr">
        <is>
          <t>MARCUS GHEERAERTS LE JEUNE</t>
        </is>
      </c>
      <c r="B529" s="2" t="inlineStr">
        <is>
          <t>anglaise (Royaume-Uni)</t>
        </is>
      </c>
      <c r="C529" s="2" t="inlineStr">
        <is>
          <t>peinture</t>
        </is>
      </c>
      <c r="D529" s="2" t="inlineStr">
        <is>
          <t>16e</t>
        </is>
      </c>
      <c r="U529">
        <f>IF(ISNUMBER(SEARCH("fran",B529)),"France",IF(OR(ISNUMBER(SEARCH("italien",B529)),ISNUMBER(SEARCH("espagn",B529)),ISNUMBER(SEARCH("catalan",B529)),ISNUMBER(SEARCH("flamand",B529)),ISNUMBER(SEARCH("belge",B529)),ISNUMBER(SEARCH("hollandais",B529)),ISNUMBER(SEARCH("néerlandais",B529)),ISNUMBER(SEARCH("allemand",B529)),ISNUMBER(SEARCH("autrichien",B529)),ISNUMBER(SEARCH("suisse",B529)),ISNUMBER(SEARCH("anglais",B529)),ISNUMBER(SEARCH("britannique",B529)),ISNUMBER(SEARCH("écossais",B529)),ISNUMBER(SEARCH("irlandais",B529)),ISNUMBER(SEARCH("russe",B529)),ISNUMBER(SEARCH("portugais",B529)),ISNUMBER(SEARCH("danois",B529)),ISNUMBER(SEARCH("norvégien",B529)),ISNUMBER(SEARCH("suédois",B529)),ISNUMBER(SEARCH("finlandais",B529)),ISNUMBER(SEARCH("polonais",B529)),ISNUMBER(SEARCH("tchèque",B529)),ISNUMBER(SEARCH("hongrois",B529)),ISNUMBER(SEARCH("grec",B529)),ISNUMBER(SEARCH("byzantin",B529)),ISNUMBER(SEARCH("croate",B529)),ISNUMBER(SEARCH("ukrainien",B529)),ISNUMBER(SEARCH("bulgare",B529)),ISNUMBER(SEARCH("biélorusse",B529)),ISNUMBER(SEARCH("maltais",B529))),"Autres pays d'Europe",IF(OR(ISNUMBER(SEARCH("américain",B529)),ISNUMBER(SEARCH("mexicain",B529)),ISNUMBER(SEARCH("canadien",B529)),ISNUMBER(SEARCH("brésilien",B529)),ISNUMBER(SEARCH("argentin",B529))),"Amérique",IF(OR(ISNUMBER(SEARCH("chinois",B529)),ISNUMBER(SEARCH("japonais",B529)),ISNUMBER(SEARCH("coréen",B529)),ISNUMBER(SEARCH("indien",B529)),ISNUMBER(SEARCH("persan",B529)),ISNUMBER(SEARCH("iranien",B529))),"Asie","(non classée)"))))</f>
        <v/>
      </c>
    </row>
    <row r="530">
      <c r="A530" s="2" t="inlineStr">
        <is>
          <t>MARIANNE VON WEREFKIN</t>
        </is>
      </c>
      <c r="B530" s="2" t="inlineStr">
        <is>
          <t>russe</t>
        </is>
      </c>
      <c r="C530" s="2" t="inlineStr">
        <is>
          <t>peinture</t>
        </is>
      </c>
      <c r="D530" s="2" t="inlineStr">
        <is>
          <t>20e</t>
        </is>
      </c>
      <c r="U530">
        <f>IF(ISNUMBER(SEARCH("fran",B530)),"France",IF(OR(ISNUMBER(SEARCH("italien",B530)),ISNUMBER(SEARCH("espagn",B530)),ISNUMBER(SEARCH("catalan",B530)),ISNUMBER(SEARCH("flamand",B530)),ISNUMBER(SEARCH("belge",B530)),ISNUMBER(SEARCH("hollandais",B530)),ISNUMBER(SEARCH("néerlandais",B530)),ISNUMBER(SEARCH("allemand",B530)),ISNUMBER(SEARCH("autrichien",B530)),ISNUMBER(SEARCH("suisse",B530)),ISNUMBER(SEARCH("anglais",B530)),ISNUMBER(SEARCH("britannique",B530)),ISNUMBER(SEARCH("écossais",B530)),ISNUMBER(SEARCH("irlandais",B530)),ISNUMBER(SEARCH("russe",B530)),ISNUMBER(SEARCH("portugais",B530)),ISNUMBER(SEARCH("danois",B530)),ISNUMBER(SEARCH("norvégien",B530)),ISNUMBER(SEARCH("suédois",B530)),ISNUMBER(SEARCH("finlandais",B530)),ISNUMBER(SEARCH("polonais",B530)),ISNUMBER(SEARCH("tchèque",B530)),ISNUMBER(SEARCH("hongrois",B530)),ISNUMBER(SEARCH("grec",B530)),ISNUMBER(SEARCH("byzantin",B530)),ISNUMBER(SEARCH("croate",B530)),ISNUMBER(SEARCH("ukrainien",B530)),ISNUMBER(SEARCH("bulgare",B530)),ISNUMBER(SEARCH("biélorusse",B530)),ISNUMBER(SEARCH("maltais",B530))),"Autres pays d'Europe",IF(OR(ISNUMBER(SEARCH("américain",B530)),ISNUMBER(SEARCH("mexicain",B530)),ISNUMBER(SEARCH("canadien",B530)),ISNUMBER(SEARCH("brésilien",B530)),ISNUMBER(SEARCH("argentin",B530))),"Amérique",IF(OR(ISNUMBER(SEARCH("chinois",B530)),ISNUMBER(SEARCH("japonais",B530)),ISNUMBER(SEARCH("coréen",B530)),ISNUMBER(SEARCH("indien",B530)),ISNUMBER(SEARCH("persan",B530)),ISNUMBER(SEARCH("iranien",B530))),"Asie","(non classée)"))))</f>
        <v/>
      </c>
    </row>
    <row r="531">
      <c r="A531" s="2" t="inlineStr">
        <is>
          <t>MARIANO BENLLIURE</t>
        </is>
      </c>
      <c r="B531" s="2" t="inlineStr">
        <is>
          <t>espagnole</t>
        </is>
      </c>
      <c r="C531" s="2" t="inlineStr">
        <is>
          <t>sculpture</t>
        </is>
      </c>
      <c r="D531" s="2" t="inlineStr">
        <is>
          <t>20e</t>
        </is>
      </c>
      <c r="U531">
        <f>IF(ISNUMBER(SEARCH("fran",B531)),"France",IF(OR(ISNUMBER(SEARCH("italien",B531)),ISNUMBER(SEARCH("espagn",B531)),ISNUMBER(SEARCH("catalan",B531)),ISNUMBER(SEARCH("flamand",B531)),ISNUMBER(SEARCH("belge",B531)),ISNUMBER(SEARCH("hollandais",B531)),ISNUMBER(SEARCH("néerlandais",B531)),ISNUMBER(SEARCH("allemand",B531)),ISNUMBER(SEARCH("autrichien",B531)),ISNUMBER(SEARCH("suisse",B531)),ISNUMBER(SEARCH("anglais",B531)),ISNUMBER(SEARCH("britannique",B531)),ISNUMBER(SEARCH("écossais",B531)),ISNUMBER(SEARCH("irlandais",B531)),ISNUMBER(SEARCH("russe",B531)),ISNUMBER(SEARCH("portugais",B531)),ISNUMBER(SEARCH("danois",B531)),ISNUMBER(SEARCH("norvégien",B531)),ISNUMBER(SEARCH("suédois",B531)),ISNUMBER(SEARCH("finlandais",B531)),ISNUMBER(SEARCH("polonais",B531)),ISNUMBER(SEARCH("tchèque",B531)),ISNUMBER(SEARCH("hongrois",B531)),ISNUMBER(SEARCH("grec",B531)),ISNUMBER(SEARCH("byzantin",B531)),ISNUMBER(SEARCH("croate",B531)),ISNUMBER(SEARCH("ukrainien",B531)),ISNUMBER(SEARCH("bulgare",B531)),ISNUMBER(SEARCH("biélorusse",B531)),ISNUMBER(SEARCH("maltais",B531))),"Autres pays d'Europe",IF(OR(ISNUMBER(SEARCH("américain",B531)),ISNUMBER(SEARCH("mexicain",B531)),ISNUMBER(SEARCH("canadien",B531)),ISNUMBER(SEARCH("brésilien",B531)),ISNUMBER(SEARCH("argentin",B531))),"Amérique",IF(OR(ISNUMBER(SEARCH("chinois",B531)),ISNUMBER(SEARCH("japonais",B531)),ISNUMBER(SEARCH("coréen",B531)),ISNUMBER(SEARCH("indien",B531)),ISNUMBER(SEARCH("persan",B531)),ISNUMBER(SEARCH("iranien",B531))),"Asie","(non classée)"))))</f>
        <v/>
      </c>
    </row>
    <row r="532">
      <c r="A532" s="2" t="inlineStr">
        <is>
          <t>MARIE-ANNE COLLOT</t>
        </is>
      </c>
      <c r="B532" s="2" t="inlineStr">
        <is>
          <t>française</t>
        </is>
      </c>
      <c r="C532" s="2" t="inlineStr">
        <is>
          <t>sculpture</t>
        </is>
      </c>
      <c r="D532" s="2" t="inlineStr">
        <is>
          <t>18e</t>
        </is>
      </c>
      <c r="U532">
        <f>IF(ISNUMBER(SEARCH("fran",B532)),"France",IF(OR(ISNUMBER(SEARCH("italien",B532)),ISNUMBER(SEARCH("espagn",B532)),ISNUMBER(SEARCH("catalan",B532)),ISNUMBER(SEARCH("flamand",B532)),ISNUMBER(SEARCH("belge",B532)),ISNUMBER(SEARCH("hollandais",B532)),ISNUMBER(SEARCH("néerlandais",B532)),ISNUMBER(SEARCH("allemand",B532)),ISNUMBER(SEARCH("autrichien",B532)),ISNUMBER(SEARCH("suisse",B532)),ISNUMBER(SEARCH("anglais",B532)),ISNUMBER(SEARCH("britannique",B532)),ISNUMBER(SEARCH("écossais",B532)),ISNUMBER(SEARCH("irlandais",B532)),ISNUMBER(SEARCH("russe",B532)),ISNUMBER(SEARCH("portugais",B532)),ISNUMBER(SEARCH("danois",B532)),ISNUMBER(SEARCH("norvégien",B532)),ISNUMBER(SEARCH("suédois",B532)),ISNUMBER(SEARCH("finlandais",B532)),ISNUMBER(SEARCH("polonais",B532)),ISNUMBER(SEARCH("tchèque",B532)),ISNUMBER(SEARCH("hongrois",B532)),ISNUMBER(SEARCH("grec",B532)),ISNUMBER(SEARCH("byzantin",B532)),ISNUMBER(SEARCH("croate",B532)),ISNUMBER(SEARCH("ukrainien",B532)),ISNUMBER(SEARCH("bulgare",B532)),ISNUMBER(SEARCH("biélorusse",B532)),ISNUMBER(SEARCH("maltais",B532))),"Autres pays d'Europe",IF(OR(ISNUMBER(SEARCH("américain",B532)),ISNUMBER(SEARCH("mexicain",B532)),ISNUMBER(SEARCH("canadien",B532)),ISNUMBER(SEARCH("brésilien",B532)),ISNUMBER(SEARCH("argentin",B532))),"Amérique",IF(OR(ISNUMBER(SEARCH("chinois",B532)),ISNUMBER(SEARCH("japonais",B532)),ISNUMBER(SEARCH("coréen",B532)),ISNUMBER(SEARCH("indien",B532)),ISNUMBER(SEARCH("persan",B532)),ISNUMBER(SEARCH("iranien",B532))),"Asie","(non classée)"))))</f>
        <v/>
      </c>
    </row>
    <row r="533">
      <c r="A533" s="2" t="inlineStr">
        <is>
          <t>MARK ANTOKOLSKY</t>
        </is>
      </c>
      <c r="B533" s="2" t="inlineStr">
        <is>
          <t>russe</t>
        </is>
      </c>
      <c r="C533" s="2" t="inlineStr">
        <is>
          <t>sculpture</t>
        </is>
      </c>
      <c r="D533" s="2" t="inlineStr">
        <is>
          <t>19e</t>
        </is>
      </c>
      <c r="U533">
        <f>IF(ISNUMBER(SEARCH("fran",B533)),"France",IF(OR(ISNUMBER(SEARCH("italien",B533)),ISNUMBER(SEARCH("espagn",B533)),ISNUMBER(SEARCH("catalan",B533)),ISNUMBER(SEARCH("flamand",B533)),ISNUMBER(SEARCH("belge",B533)),ISNUMBER(SEARCH("hollandais",B533)),ISNUMBER(SEARCH("néerlandais",B533)),ISNUMBER(SEARCH("allemand",B533)),ISNUMBER(SEARCH("autrichien",B533)),ISNUMBER(SEARCH("suisse",B533)),ISNUMBER(SEARCH("anglais",B533)),ISNUMBER(SEARCH("britannique",B533)),ISNUMBER(SEARCH("écossais",B533)),ISNUMBER(SEARCH("irlandais",B533)),ISNUMBER(SEARCH("russe",B533)),ISNUMBER(SEARCH("portugais",B533)),ISNUMBER(SEARCH("danois",B533)),ISNUMBER(SEARCH("norvégien",B533)),ISNUMBER(SEARCH("suédois",B533)),ISNUMBER(SEARCH("finlandais",B533)),ISNUMBER(SEARCH("polonais",B533)),ISNUMBER(SEARCH("tchèque",B533)),ISNUMBER(SEARCH("hongrois",B533)),ISNUMBER(SEARCH("grec",B533)),ISNUMBER(SEARCH("byzantin",B533)),ISNUMBER(SEARCH("croate",B533)),ISNUMBER(SEARCH("ukrainien",B533)),ISNUMBER(SEARCH("bulgare",B533)),ISNUMBER(SEARCH("biélorusse",B533)),ISNUMBER(SEARCH("maltais",B533))),"Autres pays d'Europe",IF(OR(ISNUMBER(SEARCH("américain",B533)),ISNUMBER(SEARCH("mexicain",B533)),ISNUMBER(SEARCH("canadien",B533)),ISNUMBER(SEARCH("brésilien",B533)),ISNUMBER(SEARCH("argentin",B533))),"Amérique",IF(OR(ISNUMBER(SEARCH("chinois",B533)),ISNUMBER(SEARCH("japonais",B533)),ISNUMBER(SEARCH("coréen",B533)),ISNUMBER(SEARCH("indien",B533)),ISNUMBER(SEARCH("persan",B533)),ISNUMBER(SEARCH("iranien",B533))),"Asie","(non classée)"))))</f>
        <v/>
      </c>
    </row>
    <row r="534">
      <c r="A534" s="2" t="inlineStr">
        <is>
          <t>MARSDEN HARTLEY</t>
        </is>
      </c>
      <c r="B534" s="2" t="inlineStr">
        <is>
          <t>américaine</t>
        </is>
      </c>
      <c r="C534" s="2" t="inlineStr">
        <is>
          <t>peinture</t>
        </is>
      </c>
      <c r="D534" s="2" t="inlineStr">
        <is>
          <t>20e</t>
        </is>
      </c>
      <c r="U534">
        <f>IF(ISNUMBER(SEARCH("fran",B534)),"France",IF(OR(ISNUMBER(SEARCH("italien",B534)),ISNUMBER(SEARCH("espagn",B534)),ISNUMBER(SEARCH("catalan",B534)),ISNUMBER(SEARCH("flamand",B534)),ISNUMBER(SEARCH("belge",B534)),ISNUMBER(SEARCH("hollandais",B534)),ISNUMBER(SEARCH("néerlandais",B534)),ISNUMBER(SEARCH("allemand",B534)),ISNUMBER(SEARCH("autrichien",B534)),ISNUMBER(SEARCH("suisse",B534)),ISNUMBER(SEARCH("anglais",B534)),ISNUMBER(SEARCH("britannique",B534)),ISNUMBER(SEARCH("écossais",B534)),ISNUMBER(SEARCH("irlandais",B534)),ISNUMBER(SEARCH("russe",B534)),ISNUMBER(SEARCH("portugais",B534)),ISNUMBER(SEARCH("danois",B534)),ISNUMBER(SEARCH("norvégien",B534)),ISNUMBER(SEARCH("suédois",B534)),ISNUMBER(SEARCH("finlandais",B534)),ISNUMBER(SEARCH("polonais",B534)),ISNUMBER(SEARCH("tchèque",B534)),ISNUMBER(SEARCH("hongrois",B534)),ISNUMBER(SEARCH("grec",B534)),ISNUMBER(SEARCH("byzantin",B534)),ISNUMBER(SEARCH("croate",B534)),ISNUMBER(SEARCH("ukrainien",B534)),ISNUMBER(SEARCH("bulgare",B534)),ISNUMBER(SEARCH("biélorusse",B534)),ISNUMBER(SEARCH("maltais",B534))),"Autres pays d'Europe",IF(OR(ISNUMBER(SEARCH("américain",B534)),ISNUMBER(SEARCH("mexicain",B534)),ISNUMBER(SEARCH("canadien",B534)),ISNUMBER(SEARCH("brésilien",B534)),ISNUMBER(SEARCH("argentin",B534))),"Amérique",IF(OR(ISNUMBER(SEARCH("chinois",B534)),ISNUMBER(SEARCH("japonais",B534)),ISNUMBER(SEARCH("coréen",B534)),ISNUMBER(SEARCH("indien",B534)),ISNUMBER(SEARCH("persan",B534)),ISNUMBER(SEARCH("iranien",B534))),"Asie","(non classée)"))))</f>
        <v/>
      </c>
    </row>
    <row r="535">
      <c r="A535" s="2" t="inlineStr">
        <is>
          <t>MARTIN DESJARDINS</t>
        </is>
      </c>
      <c r="B535" s="2" t="inlineStr">
        <is>
          <t>française</t>
        </is>
      </c>
      <c r="C535" s="2" t="inlineStr">
        <is>
          <t>sculpture</t>
        </is>
      </c>
      <c r="D535" s="2" t="inlineStr">
        <is>
          <t>17e</t>
        </is>
      </c>
      <c r="U535">
        <f>IF(ISNUMBER(SEARCH("fran",B535)),"France",IF(OR(ISNUMBER(SEARCH("italien",B535)),ISNUMBER(SEARCH("espagn",B535)),ISNUMBER(SEARCH("catalan",B535)),ISNUMBER(SEARCH("flamand",B535)),ISNUMBER(SEARCH("belge",B535)),ISNUMBER(SEARCH("hollandais",B535)),ISNUMBER(SEARCH("néerlandais",B535)),ISNUMBER(SEARCH("allemand",B535)),ISNUMBER(SEARCH("autrichien",B535)),ISNUMBER(SEARCH("suisse",B535)),ISNUMBER(SEARCH("anglais",B535)),ISNUMBER(SEARCH("britannique",B535)),ISNUMBER(SEARCH("écossais",B535)),ISNUMBER(SEARCH("irlandais",B535)),ISNUMBER(SEARCH("russe",B535)),ISNUMBER(SEARCH("portugais",B535)),ISNUMBER(SEARCH("danois",B535)),ISNUMBER(SEARCH("norvégien",B535)),ISNUMBER(SEARCH("suédois",B535)),ISNUMBER(SEARCH("finlandais",B535)),ISNUMBER(SEARCH("polonais",B535)),ISNUMBER(SEARCH("tchèque",B535)),ISNUMBER(SEARCH("hongrois",B535)),ISNUMBER(SEARCH("grec",B535)),ISNUMBER(SEARCH("byzantin",B535)),ISNUMBER(SEARCH("croate",B535)),ISNUMBER(SEARCH("ukrainien",B535)),ISNUMBER(SEARCH("bulgare",B535)),ISNUMBER(SEARCH("biélorusse",B535)),ISNUMBER(SEARCH("maltais",B535))),"Autres pays d'Europe",IF(OR(ISNUMBER(SEARCH("américain",B535)),ISNUMBER(SEARCH("mexicain",B535)),ISNUMBER(SEARCH("canadien",B535)),ISNUMBER(SEARCH("brésilien",B535)),ISNUMBER(SEARCH("argentin",B535))),"Amérique",IF(OR(ISNUMBER(SEARCH("chinois",B535)),ISNUMBER(SEARCH("japonais",B535)),ISNUMBER(SEARCH("coréen",B535)),ISNUMBER(SEARCH("indien",B535)),ISNUMBER(SEARCH("persan",B535)),ISNUMBER(SEARCH("iranien",B535))),"Asie","(non classée)"))))</f>
        <v/>
      </c>
    </row>
    <row r="536">
      <c r="A536" s="2" t="inlineStr">
        <is>
          <t>MARTIN VAN HEEMSKERCK</t>
        </is>
      </c>
      <c r="B536" s="2" t="inlineStr">
        <is>
          <t>hollandaise (Pays-Bas)</t>
        </is>
      </c>
      <c r="C536" s="2" t="inlineStr">
        <is>
          <t>peinture</t>
        </is>
      </c>
      <c r="D536" s="2" t="inlineStr">
        <is>
          <t>16e</t>
        </is>
      </c>
      <c r="U536">
        <f>IF(ISNUMBER(SEARCH("fran",B536)),"France",IF(OR(ISNUMBER(SEARCH("italien",B536)),ISNUMBER(SEARCH("espagn",B536)),ISNUMBER(SEARCH("catalan",B536)),ISNUMBER(SEARCH("flamand",B536)),ISNUMBER(SEARCH("belge",B536)),ISNUMBER(SEARCH("hollandais",B536)),ISNUMBER(SEARCH("néerlandais",B536)),ISNUMBER(SEARCH("allemand",B536)),ISNUMBER(SEARCH("autrichien",B536)),ISNUMBER(SEARCH("suisse",B536)),ISNUMBER(SEARCH("anglais",B536)),ISNUMBER(SEARCH("britannique",B536)),ISNUMBER(SEARCH("écossais",B536)),ISNUMBER(SEARCH("irlandais",B536)),ISNUMBER(SEARCH("russe",B536)),ISNUMBER(SEARCH("portugais",B536)),ISNUMBER(SEARCH("danois",B536)),ISNUMBER(SEARCH("norvégien",B536)),ISNUMBER(SEARCH("suédois",B536)),ISNUMBER(SEARCH("finlandais",B536)),ISNUMBER(SEARCH("polonais",B536)),ISNUMBER(SEARCH("tchèque",B536)),ISNUMBER(SEARCH("hongrois",B536)),ISNUMBER(SEARCH("grec",B536)),ISNUMBER(SEARCH("byzantin",B536)),ISNUMBER(SEARCH("croate",B536)),ISNUMBER(SEARCH("ukrainien",B536)),ISNUMBER(SEARCH("bulgare",B536)),ISNUMBER(SEARCH("biélorusse",B536)),ISNUMBER(SEARCH("maltais",B536))),"Autres pays d'Europe",IF(OR(ISNUMBER(SEARCH("américain",B536)),ISNUMBER(SEARCH("mexicain",B536)),ISNUMBER(SEARCH("canadien",B536)),ISNUMBER(SEARCH("brésilien",B536)),ISNUMBER(SEARCH("argentin",B536))),"Amérique",IF(OR(ISNUMBER(SEARCH("chinois",B536)),ISNUMBER(SEARCH("japonais",B536)),ISNUMBER(SEARCH("coréen",B536)),ISNUMBER(SEARCH("indien",B536)),ISNUMBER(SEARCH("persan",B536)),ISNUMBER(SEARCH("iranien",B536))),"Asie","(non classée)"))))</f>
        <v/>
      </c>
    </row>
    <row r="537">
      <c r="A537" s="2" t="inlineStr">
        <is>
          <t>MARUYAMA ŌKYO</t>
        </is>
      </c>
      <c r="B537" s="2" t="inlineStr">
        <is>
          <t>japonaise</t>
        </is>
      </c>
      <c r="C537" s="2" t="inlineStr">
        <is>
          <t>peinture</t>
        </is>
      </c>
      <c r="D537" s="2" t="inlineStr">
        <is>
          <t>18e</t>
        </is>
      </c>
      <c r="U537">
        <f>IF(ISNUMBER(SEARCH("fran",B537)),"France",IF(OR(ISNUMBER(SEARCH("italien",B537)),ISNUMBER(SEARCH("espagn",B537)),ISNUMBER(SEARCH("catalan",B537)),ISNUMBER(SEARCH("flamand",B537)),ISNUMBER(SEARCH("belge",B537)),ISNUMBER(SEARCH("hollandais",B537)),ISNUMBER(SEARCH("néerlandais",B537)),ISNUMBER(SEARCH("allemand",B537)),ISNUMBER(SEARCH("autrichien",B537)),ISNUMBER(SEARCH("suisse",B537)),ISNUMBER(SEARCH("anglais",B537)),ISNUMBER(SEARCH("britannique",B537)),ISNUMBER(SEARCH("écossais",B537)),ISNUMBER(SEARCH("irlandais",B537)),ISNUMBER(SEARCH("russe",B537)),ISNUMBER(SEARCH("portugais",B537)),ISNUMBER(SEARCH("danois",B537)),ISNUMBER(SEARCH("norvégien",B537)),ISNUMBER(SEARCH("suédois",B537)),ISNUMBER(SEARCH("finlandais",B537)),ISNUMBER(SEARCH("polonais",B537)),ISNUMBER(SEARCH("tchèque",B537)),ISNUMBER(SEARCH("hongrois",B537)),ISNUMBER(SEARCH("grec",B537)),ISNUMBER(SEARCH("byzantin",B537)),ISNUMBER(SEARCH("croate",B537)),ISNUMBER(SEARCH("ukrainien",B537)),ISNUMBER(SEARCH("bulgare",B537)),ISNUMBER(SEARCH("biélorusse",B537)),ISNUMBER(SEARCH("maltais",B537))),"Autres pays d'Europe",IF(OR(ISNUMBER(SEARCH("américain",B537)),ISNUMBER(SEARCH("mexicain",B537)),ISNUMBER(SEARCH("canadien",B537)),ISNUMBER(SEARCH("brésilien",B537)),ISNUMBER(SEARCH("argentin",B537))),"Amérique",IF(OR(ISNUMBER(SEARCH("chinois",B537)),ISNUMBER(SEARCH("japonais",B537)),ISNUMBER(SEARCH("coréen",B537)),ISNUMBER(SEARCH("indien",B537)),ISNUMBER(SEARCH("persan",B537)),ISNUMBER(SEARCH("iranien",B537))),"Asie","(non classée)"))))</f>
        <v/>
      </c>
    </row>
    <row r="538">
      <c r="A538" s="2" t="inlineStr">
        <is>
          <t>MARY CASSATT</t>
        </is>
      </c>
      <c r="B538" s="2" t="inlineStr">
        <is>
          <t>américaine</t>
        </is>
      </c>
      <c r="C538" s="2" t="inlineStr">
        <is>
          <t>peinture</t>
        </is>
      </c>
      <c r="D538" s="2" t="inlineStr">
        <is>
          <t>19e</t>
        </is>
      </c>
      <c r="U538">
        <f>IF(ISNUMBER(SEARCH("fran",B538)),"France",IF(OR(ISNUMBER(SEARCH("italien",B538)),ISNUMBER(SEARCH("espagn",B538)),ISNUMBER(SEARCH("catalan",B538)),ISNUMBER(SEARCH("flamand",B538)),ISNUMBER(SEARCH("belge",B538)),ISNUMBER(SEARCH("hollandais",B538)),ISNUMBER(SEARCH("néerlandais",B538)),ISNUMBER(SEARCH("allemand",B538)),ISNUMBER(SEARCH("autrichien",B538)),ISNUMBER(SEARCH("suisse",B538)),ISNUMBER(SEARCH("anglais",B538)),ISNUMBER(SEARCH("britannique",B538)),ISNUMBER(SEARCH("écossais",B538)),ISNUMBER(SEARCH("irlandais",B538)),ISNUMBER(SEARCH("russe",B538)),ISNUMBER(SEARCH("portugais",B538)),ISNUMBER(SEARCH("danois",B538)),ISNUMBER(SEARCH("norvégien",B538)),ISNUMBER(SEARCH("suédois",B538)),ISNUMBER(SEARCH("finlandais",B538)),ISNUMBER(SEARCH("polonais",B538)),ISNUMBER(SEARCH("tchèque",B538)),ISNUMBER(SEARCH("hongrois",B538)),ISNUMBER(SEARCH("grec",B538)),ISNUMBER(SEARCH("byzantin",B538)),ISNUMBER(SEARCH("croate",B538)),ISNUMBER(SEARCH("ukrainien",B538)),ISNUMBER(SEARCH("bulgare",B538)),ISNUMBER(SEARCH("biélorusse",B538)),ISNUMBER(SEARCH("maltais",B538))),"Autres pays d'Europe",IF(OR(ISNUMBER(SEARCH("américain",B538)),ISNUMBER(SEARCH("mexicain",B538)),ISNUMBER(SEARCH("canadien",B538)),ISNUMBER(SEARCH("brésilien",B538)),ISNUMBER(SEARCH("argentin",B538))),"Amérique",IF(OR(ISNUMBER(SEARCH("chinois",B538)),ISNUMBER(SEARCH("japonais",B538)),ISNUMBER(SEARCH("coréen",B538)),ISNUMBER(SEARCH("indien",B538)),ISNUMBER(SEARCH("persan",B538)),ISNUMBER(SEARCH("iranien",B538))),"Asie","(non classée)"))))</f>
        <v/>
      </c>
    </row>
    <row r="539">
      <c r="A539" s="2" t="inlineStr">
        <is>
          <t>MASO DI BANCO</t>
        </is>
      </c>
      <c r="B539" s="2" t="inlineStr">
        <is>
          <t>italienne</t>
        </is>
      </c>
      <c r="C539" s="2" t="inlineStr">
        <is>
          <t>peinture</t>
        </is>
      </c>
      <c r="D539" s="2" t="inlineStr">
        <is>
          <t>14e</t>
        </is>
      </c>
      <c r="U539">
        <f>IF(ISNUMBER(SEARCH("fran",B539)),"France",IF(OR(ISNUMBER(SEARCH("italien",B539)),ISNUMBER(SEARCH("espagn",B539)),ISNUMBER(SEARCH("catalan",B539)),ISNUMBER(SEARCH("flamand",B539)),ISNUMBER(SEARCH("belge",B539)),ISNUMBER(SEARCH("hollandais",B539)),ISNUMBER(SEARCH("néerlandais",B539)),ISNUMBER(SEARCH("allemand",B539)),ISNUMBER(SEARCH("autrichien",B539)),ISNUMBER(SEARCH("suisse",B539)),ISNUMBER(SEARCH("anglais",B539)),ISNUMBER(SEARCH("britannique",B539)),ISNUMBER(SEARCH("écossais",B539)),ISNUMBER(SEARCH("irlandais",B539)),ISNUMBER(SEARCH("russe",B539)),ISNUMBER(SEARCH("portugais",B539)),ISNUMBER(SEARCH("danois",B539)),ISNUMBER(SEARCH("norvégien",B539)),ISNUMBER(SEARCH("suédois",B539)),ISNUMBER(SEARCH("finlandais",B539)),ISNUMBER(SEARCH("polonais",B539)),ISNUMBER(SEARCH("tchèque",B539)),ISNUMBER(SEARCH("hongrois",B539)),ISNUMBER(SEARCH("grec",B539)),ISNUMBER(SEARCH("byzantin",B539)),ISNUMBER(SEARCH("croate",B539)),ISNUMBER(SEARCH("ukrainien",B539)),ISNUMBER(SEARCH("bulgare",B539)),ISNUMBER(SEARCH("biélorusse",B539)),ISNUMBER(SEARCH("maltais",B539))),"Autres pays d'Europe",IF(OR(ISNUMBER(SEARCH("américain",B539)),ISNUMBER(SEARCH("mexicain",B539)),ISNUMBER(SEARCH("canadien",B539)),ISNUMBER(SEARCH("brésilien",B539)),ISNUMBER(SEARCH("argentin",B539))),"Amérique",IF(OR(ISNUMBER(SEARCH("chinois",B539)),ISNUMBER(SEARCH("japonais",B539)),ISNUMBER(SEARCH("coréen",B539)),ISNUMBER(SEARCH("indien",B539)),ISNUMBER(SEARCH("persan",B539)),ISNUMBER(SEARCH("iranien",B539))),"Asie","(non classée)"))))</f>
        <v/>
      </c>
    </row>
    <row r="540">
      <c r="A540" s="2" t="inlineStr">
        <is>
          <t>MASTER BERTRAM OF MINDEN</t>
        </is>
      </c>
      <c r="B540" s="2" t="inlineStr">
        <is>
          <t>allemande</t>
        </is>
      </c>
      <c r="C540" s="2" t="inlineStr">
        <is>
          <t>peinture</t>
        </is>
      </c>
      <c r="D540" s="2" t="inlineStr">
        <is>
          <t>14e</t>
        </is>
      </c>
      <c r="U540">
        <f>IF(ISNUMBER(SEARCH("fran",B540)),"France",IF(OR(ISNUMBER(SEARCH("italien",B540)),ISNUMBER(SEARCH("espagn",B540)),ISNUMBER(SEARCH("catalan",B540)),ISNUMBER(SEARCH("flamand",B540)),ISNUMBER(SEARCH("belge",B540)),ISNUMBER(SEARCH("hollandais",B540)),ISNUMBER(SEARCH("néerlandais",B540)),ISNUMBER(SEARCH("allemand",B540)),ISNUMBER(SEARCH("autrichien",B540)),ISNUMBER(SEARCH("suisse",B540)),ISNUMBER(SEARCH("anglais",B540)),ISNUMBER(SEARCH("britannique",B540)),ISNUMBER(SEARCH("écossais",B540)),ISNUMBER(SEARCH("irlandais",B540)),ISNUMBER(SEARCH("russe",B540)),ISNUMBER(SEARCH("portugais",B540)),ISNUMBER(SEARCH("danois",B540)),ISNUMBER(SEARCH("norvégien",B540)),ISNUMBER(SEARCH("suédois",B540)),ISNUMBER(SEARCH("finlandais",B540)),ISNUMBER(SEARCH("polonais",B540)),ISNUMBER(SEARCH("tchèque",B540)),ISNUMBER(SEARCH("hongrois",B540)),ISNUMBER(SEARCH("grec",B540)),ISNUMBER(SEARCH("byzantin",B540)),ISNUMBER(SEARCH("croate",B540)),ISNUMBER(SEARCH("ukrainien",B540)),ISNUMBER(SEARCH("bulgare",B540)),ISNUMBER(SEARCH("biélorusse",B540)),ISNUMBER(SEARCH("maltais",B540))),"Autres pays d'Europe",IF(OR(ISNUMBER(SEARCH("américain",B540)),ISNUMBER(SEARCH("mexicain",B540)),ISNUMBER(SEARCH("canadien",B540)),ISNUMBER(SEARCH("brésilien",B540)),ISNUMBER(SEARCH("argentin",B540))),"Amérique",IF(OR(ISNUMBER(SEARCH("chinois",B540)),ISNUMBER(SEARCH("japonais",B540)),ISNUMBER(SEARCH("coréen",B540)),ISNUMBER(SEARCH("indien",B540)),ISNUMBER(SEARCH("persan",B540)),ISNUMBER(SEARCH("iranien",B540))),"Asie","(non classée)"))))</f>
        <v/>
      </c>
    </row>
    <row r="541">
      <c r="A541" s="2" t="inlineStr">
        <is>
          <t>MASTER FRANCKE</t>
        </is>
      </c>
      <c r="B541" s="2" t="inlineStr">
        <is>
          <t>allemande</t>
        </is>
      </c>
      <c r="C541" s="2" t="inlineStr">
        <is>
          <t>peinture</t>
        </is>
      </c>
      <c r="D541" s="2" t="inlineStr">
        <is>
          <t>14e</t>
        </is>
      </c>
      <c r="U541">
        <f>IF(ISNUMBER(SEARCH("fran",B541)),"France",IF(OR(ISNUMBER(SEARCH("italien",B541)),ISNUMBER(SEARCH("espagn",B541)),ISNUMBER(SEARCH("catalan",B541)),ISNUMBER(SEARCH("flamand",B541)),ISNUMBER(SEARCH("belge",B541)),ISNUMBER(SEARCH("hollandais",B541)),ISNUMBER(SEARCH("néerlandais",B541)),ISNUMBER(SEARCH("allemand",B541)),ISNUMBER(SEARCH("autrichien",B541)),ISNUMBER(SEARCH("suisse",B541)),ISNUMBER(SEARCH("anglais",B541)),ISNUMBER(SEARCH("britannique",B541)),ISNUMBER(SEARCH("écossais",B541)),ISNUMBER(SEARCH("irlandais",B541)),ISNUMBER(SEARCH("russe",B541)),ISNUMBER(SEARCH("portugais",B541)),ISNUMBER(SEARCH("danois",B541)),ISNUMBER(SEARCH("norvégien",B541)),ISNUMBER(SEARCH("suédois",B541)),ISNUMBER(SEARCH("finlandais",B541)),ISNUMBER(SEARCH("polonais",B541)),ISNUMBER(SEARCH("tchèque",B541)),ISNUMBER(SEARCH("hongrois",B541)),ISNUMBER(SEARCH("grec",B541)),ISNUMBER(SEARCH("byzantin",B541)),ISNUMBER(SEARCH("croate",B541)),ISNUMBER(SEARCH("ukrainien",B541)),ISNUMBER(SEARCH("bulgare",B541)),ISNUMBER(SEARCH("biélorusse",B541)),ISNUMBER(SEARCH("maltais",B541))),"Autres pays d'Europe",IF(OR(ISNUMBER(SEARCH("américain",B541)),ISNUMBER(SEARCH("mexicain",B541)),ISNUMBER(SEARCH("canadien",B541)),ISNUMBER(SEARCH("brésilien",B541)),ISNUMBER(SEARCH("argentin",B541))),"Amérique",IF(OR(ISNUMBER(SEARCH("chinois",B541)),ISNUMBER(SEARCH("japonais",B541)),ISNUMBER(SEARCH("coréen",B541)),ISNUMBER(SEARCH("indien",B541)),ISNUMBER(SEARCH("persan",B541)),ISNUMBER(SEARCH("iranien",B541))),"Asie","(non classée)"))))</f>
        <v/>
      </c>
    </row>
    <row r="542">
      <c r="A542" s="2" t="inlineStr">
        <is>
          <t>MASTER OF TŘEBOŇ</t>
        </is>
      </c>
      <c r="B542" s="2" t="inlineStr">
        <is>
          <t>tchèque</t>
        </is>
      </c>
      <c r="C542" s="2" t="inlineStr">
        <is>
          <t>peinture</t>
        </is>
      </c>
      <c r="D542" s="2" t="inlineStr">
        <is>
          <t>14e</t>
        </is>
      </c>
      <c r="U542">
        <f>IF(ISNUMBER(SEARCH("fran",B542)),"France",IF(OR(ISNUMBER(SEARCH("italien",B542)),ISNUMBER(SEARCH("espagn",B542)),ISNUMBER(SEARCH("catalan",B542)),ISNUMBER(SEARCH("flamand",B542)),ISNUMBER(SEARCH("belge",B542)),ISNUMBER(SEARCH("hollandais",B542)),ISNUMBER(SEARCH("néerlandais",B542)),ISNUMBER(SEARCH("allemand",B542)),ISNUMBER(SEARCH("autrichien",B542)),ISNUMBER(SEARCH("suisse",B542)),ISNUMBER(SEARCH("anglais",B542)),ISNUMBER(SEARCH("britannique",B542)),ISNUMBER(SEARCH("écossais",B542)),ISNUMBER(SEARCH("irlandais",B542)),ISNUMBER(SEARCH("russe",B542)),ISNUMBER(SEARCH("portugais",B542)),ISNUMBER(SEARCH("danois",B542)),ISNUMBER(SEARCH("norvégien",B542)),ISNUMBER(SEARCH("suédois",B542)),ISNUMBER(SEARCH("finlandais",B542)),ISNUMBER(SEARCH("polonais",B542)),ISNUMBER(SEARCH("tchèque",B542)),ISNUMBER(SEARCH("hongrois",B542)),ISNUMBER(SEARCH("grec",B542)),ISNUMBER(SEARCH("byzantin",B542)),ISNUMBER(SEARCH("croate",B542)),ISNUMBER(SEARCH("ukrainien",B542)),ISNUMBER(SEARCH("bulgare",B542)),ISNUMBER(SEARCH("biélorusse",B542)),ISNUMBER(SEARCH("maltais",B542))),"Autres pays d'Europe",IF(OR(ISNUMBER(SEARCH("américain",B542)),ISNUMBER(SEARCH("mexicain",B542)),ISNUMBER(SEARCH("canadien",B542)),ISNUMBER(SEARCH("brésilien",B542)),ISNUMBER(SEARCH("argentin",B542))),"Amérique",IF(OR(ISNUMBER(SEARCH("chinois",B542)),ISNUMBER(SEARCH("japonais",B542)),ISNUMBER(SEARCH("coréen",B542)),ISNUMBER(SEARCH("indien",B542)),ISNUMBER(SEARCH("persan",B542)),ISNUMBER(SEARCH("iranien",B542))),"Asie","(non classée)"))))</f>
        <v/>
      </c>
    </row>
    <row r="543">
      <c r="A543" s="2" t="inlineStr">
        <is>
          <t>MASTER OF THE VYŠŠÍ BROD ALTARPIECE</t>
        </is>
      </c>
      <c r="B543" s="2" t="inlineStr">
        <is>
          <t>tchèque</t>
        </is>
      </c>
      <c r="C543" s="2" t="inlineStr">
        <is>
          <t>peinture</t>
        </is>
      </c>
      <c r="D543" s="2" t="inlineStr">
        <is>
          <t>14e</t>
        </is>
      </c>
      <c r="U543">
        <f>IF(ISNUMBER(SEARCH("fran",B543)),"France",IF(OR(ISNUMBER(SEARCH("italien",B543)),ISNUMBER(SEARCH("espagn",B543)),ISNUMBER(SEARCH("catalan",B543)),ISNUMBER(SEARCH("flamand",B543)),ISNUMBER(SEARCH("belge",B543)),ISNUMBER(SEARCH("hollandais",B543)),ISNUMBER(SEARCH("néerlandais",B543)),ISNUMBER(SEARCH("allemand",B543)),ISNUMBER(SEARCH("autrichien",B543)),ISNUMBER(SEARCH("suisse",B543)),ISNUMBER(SEARCH("anglais",B543)),ISNUMBER(SEARCH("britannique",B543)),ISNUMBER(SEARCH("écossais",B543)),ISNUMBER(SEARCH("irlandais",B543)),ISNUMBER(SEARCH("russe",B543)),ISNUMBER(SEARCH("portugais",B543)),ISNUMBER(SEARCH("danois",B543)),ISNUMBER(SEARCH("norvégien",B543)),ISNUMBER(SEARCH("suédois",B543)),ISNUMBER(SEARCH("finlandais",B543)),ISNUMBER(SEARCH("polonais",B543)),ISNUMBER(SEARCH("tchèque",B543)),ISNUMBER(SEARCH("hongrois",B543)),ISNUMBER(SEARCH("grec",B543)),ISNUMBER(SEARCH("byzantin",B543)),ISNUMBER(SEARCH("croate",B543)),ISNUMBER(SEARCH("ukrainien",B543)),ISNUMBER(SEARCH("bulgare",B543)),ISNUMBER(SEARCH("biélorusse",B543)),ISNUMBER(SEARCH("maltais",B543))),"Autres pays d'Europe",IF(OR(ISNUMBER(SEARCH("américain",B543)),ISNUMBER(SEARCH("mexicain",B543)),ISNUMBER(SEARCH("canadien",B543)),ISNUMBER(SEARCH("brésilien",B543)),ISNUMBER(SEARCH("argentin",B543))),"Amérique",IF(OR(ISNUMBER(SEARCH("chinois",B543)),ISNUMBER(SEARCH("japonais",B543)),ISNUMBER(SEARCH("coréen",B543)),ISNUMBER(SEARCH("indien",B543)),ISNUMBER(SEARCH("persan",B543)),ISNUMBER(SEARCH("iranien",B543))),"Asie","(non classée)"))))</f>
        <v/>
      </c>
    </row>
    <row r="544">
      <c r="A544" s="2" t="inlineStr">
        <is>
          <t>MATHIAS BERNARD BRAUN</t>
        </is>
      </c>
      <c r="B544" s="2" t="inlineStr">
        <is>
          <t>tchèque</t>
        </is>
      </c>
      <c r="C544" s="2" t="inlineStr">
        <is>
          <t>sculpture</t>
        </is>
      </c>
      <c r="D544" s="2" t="inlineStr">
        <is>
          <t>18e</t>
        </is>
      </c>
      <c r="U544">
        <f>IF(ISNUMBER(SEARCH("fran",B544)),"France",IF(OR(ISNUMBER(SEARCH("italien",B544)),ISNUMBER(SEARCH("espagn",B544)),ISNUMBER(SEARCH("catalan",B544)),ISNUMBER(SEARCH("flamand",B544)),ISNUMBER(SEARCH("belge",B544)),ISNUMBER(SEARCH("hollandais",B544)),ISNUMBER(SEARCH("néerlandais",B544)),ISNUMBER(SEARCH("allemand",B544)),ISNUMBER(SEARCH("autrichien",B544)),ISNUMBER(SEARCH("suisse",B544)),ISNUMBER(SEARCH("anglais",B544)),ISNUMBER(SEARCH("britannique",B544)),ISNUMBER(SEARCH("écossais",B544)),ISNUMBER(SEARCH("irlandais",B544)),ISNUMBER(SEARCH("russe",B544)),ISNUMBER(SEARCH("portugais",B544)),ISNUMBER(SEARCH("danois",B544)),ISNUMBER(SEARCH("norvégien",B544)),ISNUMBER(SEARCH("suédois",B544)),ISNUMBER(SEARCH("finlandais",B544)),ISNUMBER(SEARCH("polonais",B544)),ISNUMBER(SEARCH("tchèque",B544)),ISNUMBER(SEARCH("hongrois",B544)),ISNUMBER(SEARCH("grec",B544)),ISNUMBER(SEARCH("byzantin",B544)),ISNUMBER(SEARCH("croate",B544)),ISNUMBER(SEARCH("ukrainien",B544)),ISNUMBER(SEARCH("bulgare",B544)),ISNUMBER(SEARCH("biélorusse",B544)),ISNUMBER(SEARCH("maltais",B544))),"Autres pays d'Europe",IF(OR(ISNUMBER(SEARCH("américain",B544)),ISNUMBER(SEARCH("mexicain",B544)),ISNUMBER(SEARCH("canadien",B544)),ISNUMBER(SEARCH("brésilien",B544)),ISNUMBER(SEARCH("argentin",B544))),"Amérique",IF(OR(ISNUMBER(SEARCH("chinois",B544)),ISNUMBER(SEARCH("japonais",B544)),ISNUMBER(SEARCH("coréen",B544)),ISNUMBER(SEARCH("indien",B544)),ISNUMBER(SEARCH("persan",B544)),ISNUMBER(SEARCH("iranien",B544))),"Asie","(non classée)"))))</f>
        <v/>
      </c>
    </row>
    <row r="545">
      <c r="A545" s="2" t="inlineStr">
        <is>
          <t>MATHURIN MOREAU</t>
        </is>
      </c>
      <c r="B545" s="2" t="inlineStr">
        <is>
          <t>française</t>
        </is>
      </c>
      <c r="C545" s="2" t="inlineStr">
        <is>
          <t>sculpture</t>
        </is>
      </c>
      <c r="D545" s="2" t="inlineStr">
        <is>
          <t>19e</t>
        </is>
      </c>
      <c r="U545">
        <f>IF(ISNUMBER(SEARCH("fran",B545)),"France",IF(OR(ISNUMBER(SEARCH("italien",B545)),ISNUMBER(SEARCH("espagn",B545)),ISNUMBER(SEARCH("catalan",B545)),ISNUMBER(SEARCH("flamand",B545)),ISNUMBER(SEARCH("belge",B545)),ISNUMBER(SEARCH("hollandais",B545)),ISNUMBER(SEARCH("néerlandais",B545)),ISNUMBER(SEARCH("allemand",B545)),ISNUMBER(SEARCH("autrichien",B545)),ISNUMBER(SEARCH("suisse",B545)),ISNUMBER(SEARCH("anglais",B545)),ISNUMBER(SEARCH("britannique",B545)),ISNUMBER(SEARCH("écossais",B545)),ISNUMBER(SEARCH("irlandais",B545)),ISNUMBER(SEARCH("russe",B545)),ISNUMBER(SEARCH("portugais",B545)),ISNUMBER(SEARCH("danois",B545)),ISNUMBER(SEARCH("norvégien",B545)),ISNUMBER(SEARCH("suédois",B545)),ISNUMBER(SEARCH("finlandais",B545)),ISNUMBER(SEARCH("polonais",B545)),ISNUMBER(SEARCH("tchèque",B545)),ISNUMBER(SEARCH("hongrois",B545)),ISNUMBER(SEARCH("grec",B545)),ISNUMBER(SEARCH("byzantin",B545)),ISNUMBER(SEARCH("croate",B545)),ISNUMBER(SEARCH("ukrainien",B545)),ISNUMBER(SEARCH("bulgare",B545)),ISNUMBER(SEARCH("biélorusse",B545)),ISNUMBER(SEARCH("maltais",B545))),"Autres pays d'Europe",IF(OR(ISNUMBER(SEARCH("américain",B545)),ISNUMBER(SEARCH("mexicain",B545)),ISNUMBER(SEARCH("canadien",B545)),ISNUMBER(SEARCH("brésilien",B545)),ISNUMBER(SEARCH("argentin",B545))),"Amérique",IF(OR(ISNUMBER(SEARCH("chinois",B545)),ISNUMBER(SEARCH("japonais",B545)),ISNUMBER(SEARCH("coréen",B545)),ISNUMBER(SEARCH("indien",B545)),ISNUMBER(SEARCH("persan",B545)),ISNUMBER(SEARCH("iranien",B545))),"Asie","(non classée)"))))</f>
        <v/>
      </c>
    </row>
    <row r="546">
      <c r="A546" s="2" t="inlineStr">
        <is>
          <t>MATTEO CIVITALI</t>
        </is>
      </c>
      <c r="B546" s="2" t="inlineStr">
        <is>
          <t>italienne</t>
        </is>
      </c>
      <c r="C546" s="2" t="inlineStr">
        <is>
          <t>sculpture</t>
        </is>
      </c>
      <c r="D546" s="2" t="inlineStr">
        <is>
          <t>15e</t>
        </is>
      </c>
      <c r="U546">
        <f>IF(ISNUMBER(SEARCH("fran",B546)),"France",IF(OR(ISNUMBER(SEARCH("italien",B546)),ISNUMBER(SEARCH("espagn",B546)),ISNUMBER(SEARCH("catalan",B546)),ISNUMBER(SEARCH("flamand",B546)),ISNUMBER(SEARCH("belge",B546)),ISNUMBER(SEARCH("hollandais",B546)),ISNUMBER(SEARCH("néerlandais",B546)),ISNUMBER(SEARCH("allemand",B546)),ISNUMBER(SEARCH("autrichien",B546)),ISNUMBER(SEARCH("suisse",B546)),ISNUMBER(SEARCH("anglais",B546)),ISNUMBER(SEARCH("britannique",B546)),ISNUMBER(SEARCH("écossais",B546)),ISNUMBER(SEARCH("irlandais",B546)),ISNUMBER(SEARCH("russe",B546)),ISNUMBER(SEARCH("portugais",B546)),ISNUMBER(SEARCH("danois",B546)),ISNUMBER(SEARCH("norvégien",B546)),ISNUMBER(SEARCH("suédois",B546)),ISNUMBER(SEARCH("finlandais",B546)),ISNUMBER(SEARCH("polonais",B546)),ISNUMBER(SEARCH("tchèque",B546)),ISNUMBER(SEARCH("hongrois",B546)),ISNUMBER(SEARCH("grec",B546)),ISNUMBER(SEARCH("byzantin",B546)),ISNUMBER(SEARCH("croate",B546)),ISNUMBER(SEARCH("ukrainien",B546)),ISNUMBER(SEARCH("bulgare",B546)),ISNUMBER(SEARCH("biélorusse",B546)),ISNUMBER(SEARCH("maltais",B546))),"Autres pays d'Europe",IF(OR(ISNUMBER(SEARCH("américain",B546)),ISNUMBER(SEARCH("mexicain",B546)),ISNUMBER(SEARCH("canadien",B546)),ISNUMBER(SEARCH("brésilien",B546)),ISNUMBER(SEARCH("argentin",B546))),"Amérique",IF(OR(ISNUMBER(SEARCH("chinois",B546)),ISNUMBER(SEARCH("japonais",B546)),ISNUMBER(SEARCH("coréen",B546)),ISNUMBER(SEARCH("indien",B546)),ISNUMBER(SEARCH("persan",B546)),ISNUMBER(SEARCH("iranien",B546))),"Asie","(non classée)"))))</f>
        <v/>
      </c>
    </row>
    <row r="547">
      <c r="A547" s="2" t="inlineStr">
        <is>
          <t>MATTEO GIOVANNETTI</t>
        </is>
      </c>
      <c r="B547" s="2" t="inlineStr">
        <is>
          <t>italienne</t>
        </is>
      </c>
      <c r="C547" s="2" t="inlineStr">
        <is>
          <t>peinture</t>
        </is>
      </c>
      <c r="D547" s="2" t="inlineStr">
        <is>
          <t>14e</t>
        </is>
      </c>
      <c r="U547">
        <f>IF(ISNUMBER(SEARCH("fran",B547)),"France",IF(OR(ISNUMBER(SEARCH("italien",B547)),ISNUMBER(SEARCH("espagn",B547)),ISNUMBER(SEARCH("catalan",B547)),ISNUMBER(SEARCH("flamand",B547)),ISNUMBER(SEARCH("belge",B547)),ISNUMBER(SEARCH("hollandais",B547)),ISNUMBER(SEARCH("néerlandais",B547)),ISNUMBER(SEARCH("allemand",B547)),ISNUMBER(SEARCH("autrichien",B547)),ISNUMBER(SEARCH("suisse",B547)),ISNUMBER(SEARCH("anglais",B547)),ISNUMBER(SEARCH("britannique",B547)),ISNUMBER(SEARCH("écossais",B547)),ISNUMBER(SEARCH("irlandais",B547)),ISNUMBER(SEARCH("russe",B547)),ISNUMBER(SEARCH("portugais",B547)),ISNUMBER(SEARCH("danois",B547)),ISNUMBER(SEARCH("norvégien",B547)),ISNUMBER(SEARCH("suédois",B547)),ISNUMBER(SEARCH("finlandais",B547)),ISNUMBER(SEARCH("polonais",B547)),ISNUMBER(SEARCH("tchèque",B547)),ISNUMBER(SEARCH("hongrois",B547)),ISNUMBER(SEARCH("grec",B547)),ISNUMBER(SEARCH("byzantin",B547)),ISNUMBER(SEARCH("croate",B547)),ISNUMBER(SEARCH("ukrainien",B547)),ISNUMBER(SEARCH("bulgare",B547)),ISNUMBER(SEARCH("biélorusse",B547)),ISNUMBER(SEARCH("maltais",B547))),"Autres pays d'Europe",IF(OR(ISNUMBER(SEARCH("américain",B547)),ISNUMBER(SEARCH("mexicain",B547)),ISNUMBER(SEARCH("canadien",B547)),ISNUMBER(SEARCH("brésilien",B547)),ISNUMBER(SEARCH("argentin",B547))),"Amérique",IF(OR(ISNUMBER(SEARCH("chinois",B547)),ISNUMBER(SEARCH("japonais",B547)),ISNUMBER(SEARCH("coréen",B547)),ISNUMBER(SEARCH("indien",B547)),ISNUMBER(SEARCH("persan",B547)),ISNUMBER(SEARCH("iranien",B547))),"Asie","(non classée)"))))</f>
        <v/>
      </c>
    </row>
    <row r="548">
      <c r="A548" s="2" t="inlineStr">
        <is>
          <t>MATTEO DI GIOVANNI</t>
        </is>
      </c>
      <c r="B548" s="2" t="inlineStr">
        <is>
          <t>italienne</t>
        </is>
      </c>
      <c r="C548" s="2" t="inlineStr">
        <is>
          <t>peinture</t>
        </is>
      </c>
      <c r="D548" s="2" t="inlineStr">
        <is>
          <t>15e</t>
        </is>
      </c>
      <c r="U548">
        <f>IF(ISNUMBER(SEARCH("fran",B548)),"France",IF(OR(ISNUMBER(SEARCH("italien",B548)),ISNUMBER(SEARCH("espagn",B548)),ISNUMBER(SEARCH("catalan",B548)),ISNUMBER(SEARCH("flamand",B548)),ISNUMBER(SEARCH("belge",B548)),ISNUMBER(SEARCH("hollandais",B548)),ISNUMBER(SEARCH("néerlandais",B548)),ISNUMBER(SEARCH("allemand",B548)),ISNUMBER(SEARCH("autrichien",B548)),ISNUMBER(SEARCH("suisse",B548)),ISNUMBER(SEARCH("anglais",B548)),ISNUMBER(SEARCH("britannique",B548)),ISNUMBER(SEARCH("écossais",B548)),ISNUMBER(SEARCH("irlandais",B548)),ISNUMBER(SEARCH("russe",B548)),ISNUMBER(SEARCH("portugais",B548)),ISNUMBER(SEARCH("danois",B548)),ISNUMBER(SEARCH("norvégien",B548)),ISNUMBER(SEARCH("suédois",B548)),ISNUMBER(SEARCH("finlandais",B548)),ISNUMBER(SEARCH("polonais",B548)),ISNUMBER(SEARCH("tchèque",B548)),ISNUMBER(SEARCH("hongrois",B548)),ISNUMBER(SEARCH("grec",B548)),ISNUMBER(SEARCH("byzantin",B548)),ISNUMBER(SEARCH("croate",B548)),ISNUMBER(SEARCH("ukrainien",B548)),ISNUMBER(SEARCH("bulgare",B548)),ISNUMBER(SEARCH("biélorusse",B548)),ISNUMBER(SEARCH("maltais",B548))),"Autres pays d'Europe",IF(OR(ISNUMBER(SEARCH("américain",B548)),ISNUMBER(SEARCH("mexicain",B548)),ISNUMBER(SEARCH("canadien",B548)),ISNUMBER(SEARCH("brésilien",B548)),ISNUMBER(SEARCH("argentin",B548))),"Amérique",IF(OR(ISNUMBER(SEARCH("chinois",B548)),ISNUMBER(SEARCH("japonais",B548)),ISNUMBER(SEARCH("coréen",B548)),ISNUMBER(SEARCH("indien",B548)),ISNUMBER(SEARCH("persan",B548)),ISNUMBER(SEARCH("iranien",B548))),"Asie","(non classée)"))))</f>
        <v/>
      </c>
    </row>
    <row r="549">
      <c r="A549" s="2" t="inlineStr">
        <is>
          <t>MATTHIAS GRÜNEWALD</t>
        </is>
      </c>
      <c r="B549" s="2" t="inlineStr">
        <is>
          <t>allemande</t>
        </is>
      </c>
      <c r="C549" s="2" t="inlineStr">
        <is>
          <t>peinture</t>
        </is>
      </c>
      <c r="D549" s="2" t="inlineStr">
        <is>
          <t>16e</t>
        </is>
      </c>
      <c r="U549">
        <f>IF(ISNUMBER(SEARCH("fran",B549)),"France",IF(OR(ISNUMBER(SEARCH("italien",B549)),ISNUMBER(SEARCH("espagn",B549)),ISNUMBER(SEARCH("catalan",B549)),ISNUMBER(SEARCH("flamand",B549)),ISNUMBER(SEARCH("belge",B549)),ISNUMBER(SEARCH("hollandais",B549)),ISNUMBER(SEARCH("néerlandais",B549)),ISNUMBER(SEARCH("allemand",B549)),ISNUMBER(SEARCH("autrichien",B549)),ISNUMBER(SEARCH("suisse",B549)),ISNUMBER(SEARCH("anglais",B549)),ISNUMBER(SEARCH("britannique",B549)),ISNUMBER(SEARCH("écossais",B549)),ISNUMBER(SEARCH("irlandais",B549)),ISNUMBER(SEARCH("russe",B549)),ISNUMBER(SEARCH("portugais",B549)),ISNUMBER(SEARCH("danois",B549)),ISNUMBER(SEARCH("norvégien",B549)),ISNUMBER(SEARCH("suédois",B549)),ISNUMBER(SEARCH("finlandais",B549)),ISNUMBER(SEARCH("polonais",B549)),ISNUMBER(SEARCH("tchèque",B549)),ISNUMBER(SEARCH("hongrois",B549)),ISNUMBER(SEARCH("grec",B549)),ISNUMBER(SEARCH("byzantin",B549)),ISNUMBER(SEARCH("croate",B549)),ISNUMBER(SEARCH("ukrainien",B549)),ISNUMBER(SEARCH("bulgare",B549)),ISNUMBER(SEARCH("biélorusse",B549)),ISNUMBER(SEARCH("maltais",B549))),"Autres pays d'Europe",IF(OR(ISNUMBER(SEARCH("américain",B549)),ISNUMBER(SEARCH("mexicain",B549)),ISNUMBER(SEARCH("canadien",B549)),ISNUMBER(SEARCH("brésilien",B549)),ISNUMBER(SEARCH("argentin",B549))),"Amérique",IF(OR(ISNUMBER(SEARCH("chinois",B549)),ISNUMBER(SEARCH("japonais",B549)),ISNUMBER(SEARCH("coréen",B549)),ISNUMBER(SEARCH("indien",B549)),ISNUMBER(SEARCH("persan",B549)),ISNUMBER(SEARCH("iranien",B549))),"Asie","(non classée)"))))</f>
        <v/>
      </c>
    </row>
    <row r="550">
      <c r="A550" s="2" t="inlineStr">
        <is>
          <t>MATTHIAS RAUCHMILLER</t>
        </is>
      </c>
      <c r="B550" s="2" t="inlineStr">
        <is>
          <t>allemande</t>
        </is>
      </c>
      <c r="C550" s="2" t="inlineStr">
        <is>
          <t>sculpture</t>
        </is>
      </c>
      <c r="D550" s="2" t="inlineStr">
        <is>
          <t>17e</t>
        </is>
      </c>
      <c r="U550">
        <f>IF(ISNUMBER(SEARCH("fran",B550)),"France",IF(OR(ISNUMBER(SEARCH("italien",B550)),ISNUMBER(SEARCH("espagn",B550)),ISNUMBER(SEARCH("catalan",B550)),ISNUMBER(SEARCH("flamand",B550)),ISNUMBER(SEARCH("belge",B550)),ISNUMBER(SEARCH("hollandais",B550)),ISNUMBER(SEARCH("néerlandais",B550)),ISNUMBER(SEARCH("allemand",B550)),ISNUMBER(SEARCH("autrichien",B550)),ISNUMBER(SEARCH("suisse",B550)),ISNUMBER(SEARCH("anglais",B550)),ISNUMBER(SEARCH("britannique",B550)),ISNUMBER(SEARCH("écossais",B550)),ISNUMBER(SEARCH("irlandais",B550)),ISNUMBER(SEARCH("russe",B550)),ISNUMBER(SEARCH("portugais",B550)),ISNUMBER(SEARCH("danois",B550)),ISNUMBER(SEARCH("norvégien",B550)),ISNUMBER(SEARCH("suédois",B550)),ISNUMBER(SEARCH("finlandais",B550)),ISNUMBER(SEARCH("polonais",B550)),ISNUMBER(SEARCH("tchèque",B550)),ISNUMBER(SEARCH("hongrois",B550)),ISNUMBER(SEARCH("grec",B550)),ISNUMBER(SEARCH("byzantin",B550)),ISNUMBER(SEARCH("croate",B550)),ISNUMBER(SEARCH("ukrainien",B550)),ISNUMBER(SEARCH("bulgare",B550)),ISNUMBER(SEARCH("biélorusse",B550)),ISNUMBER(SEARCH("maltais",B550))),"Autres pays d'Europe",IF(OR(ISNUMBER(SEARCH("américain",B550)),ISNUMBER(SEARCH("mexicain",B550)),ISNUMBER(SEARCH("canadien",B550)),ISNUMBER(SEARCH("brésilien",B550)),ISNUMBER(SEARCH("argentin",B550))),"Amérique",IF(OR(ISNUMBER(SEARCH("chinois",B550)),ISNUMBER(SEARCH("japonais",B550)),ISNUMBER(SEARCH("coréen",B550)),ISNUMBER(SEARCH("indien",B550)),ISNUMBER(SEARCH("persan",B550)),ISNUMBER(SEARCH("iranien",B550))),"Asie","(non classée)"))))</f>
        <v/>
      </c>
    </row>
    <row r="551">
      <c r="A551" s="2" t="inlineStr">
        <is>
          <t>MATTHIAS STEINL</t>
        </is>
      </c>
      <c r="B551" s="2" t="inlineStr">
        <is>
          <t>allemande</t>
        </is>
      </c>
      <c r="C551" s="2" t="inlineStr">
        <is>
          <t>sculpture</t>
        </is>
      </c>
      <c r="D551" s="2" t="inlineStr">
        <is>
          <t>17e</t>
        </is>
      </c>
      <c r="U551">
        <f>IF(ISNUMBER(SEARCH("fran",B551)),"France",IF(OR(ISNUMBER(SEARCH("italien",B551)),ISNUMBER(SEARCH("espagn",B551)),ISNUMBER(SEARCH("catalan",B551)),ISNUMBER(SEARCH("flamand",B551)),ISNUMBER(SEARCH("belge",B551)),ISNUMBER(SEARCH("hollandais",B551)),ISNUMBER(SEARCH("néerlandais",B551)),ISNUMBER(SEARCH("allemand",B551)),ISNUMBER(SEARCH("autrichien",B551)),ISNUMBER(SEARCH("suisse",B551)),ISNUMBER(SEARCH("anglais",B551)),ISNUMBER(SEARCH("britannique",B551)),ISNUMBER(SEARCH("écossais",B551)),ISNUMBER(SEARCH("irlandais",B551)),ISNUMBER(SEARCH("russe",B551)),ISNUMBER(SEARCH("portugais",B551)),ISNUMBER(SEARCH("danois",B551)),ISNUMBER(SEARCH("norvégien",B551)),ISNUMBER(SEARCH("suédois",B551)),ISNUMBER(SEARCH("finlandais",B551)),ISNUMBER(SEARCH("polonais",B551)),ISNUMBER(SEARCH("tchèque",B551)),ISNUMBER(SEARCH("hongrois",B551)),ISNUMBER(SEARCH("grec",B551)),ISNUMBER(SEARCH("byzantin",B551)),ISNUMBER(SEARCH("croate",B551)),ISNUMBER(SEARCH("ukrainien",B551)),ISNUMBER(SEARCH("bulgare",B551)),ISNUMBER(SEARCH("biélorusse",B551)),ISNUMBER(SEARCH("maltais",B551))),"Autres pays d'Europe",IF(OR(ISNUMBER(SEARCH("américain",B551)),ISNUMBER(SEARCH("mexicain",B551)),ISNUMBER(SEARCH("canadien",B551)),ISNUMBER(SEARCH("brésilien",B551)),ISNUMBER(SEARCH("argentin",B551))),"Amérique",IF(OR(ISNUMBER(SEARCH("chinois",B551)),ISNUMBER(SEARCH("japonais",B551)),ISNUMBER(SEARCH("coréen",B551)),ISNUMBER(SEARCH("indien",B551)),ISNUMBER(SEARCH("persan",B551)),ISNUMBER(SEARCH("iranien",B551))),"Asie","(non classée)"))))</f>
        <v/>
      </c>
    </row>
    <row r="552">
      <c r="A552" s="2" t="inlineStr">
        <is>
          <t>MATTIA PRETI</t>
        </is>
      </c>
      <c r="B552" s="2" t="inlineStr">
        <is>
          <t>italienne</t>
        </is>
      </c>
      <c r="C552" s="2" t="inlineStr">
        <is>
          <t>peinture</t>
        </is>
      </c>
      <c r="D552" s="2" t="inlineStr">
        <is>
          <t>17e</t>
        </is>
      </c>
      <c r="U552">
        <f>IF(ISNUMBER(SEARCH("fran",B552)),"France",IF(OR(ISNUMBER(SEARCH("italien",B552)),ISNUMBER(SEARCH("espagn",B552)),ISNUMBER(SEARCH("catalan",B552)),ISNUMBER(SEARCH("flamand",B552)),ISNUMBER(SEARCH("belge",B552)),ISNUMBER(SEARCH("hollandais",B552)),ISNUMBER(SEARCH("néerlandais",B552)),ISNUMBER(SEARCH("allemand",B552)),ISNUMBER(SEARCH("autrichien",B552)),ISNUMBER(SEARCH("suisse",B552)),ISNUMBER(SEARCH("anglais",B552)),ISNUMBER(SEARCH("britannique",B552)),ISNUMBER(SEARCH("écossais",B552)),ISNUMBER(SEARCH("irlandais",B552)),ISNUMBER(SEARCH("russe",B552)),ISNUMBER(SEARCH("portugais",B552)),ISNUMBER(SEARCH("danois",B552)),ISNUMBER(SEARCH("norvégien",B552)),ISNUMBER(SEARCH("suédois",B552)),ISNUMBER(SEARCH("finlandais",B552)),ISNUMBER(SEARCH("polonais",B552)),ISNUMBER(SEARCH("tchèque",B552)),ISNUMBER(SEARCH("hongrois",B552)),ISNUMBER(SEARCH("grec",B552)),ISNUMBER(SEARCH("byzantin",B552)),ISNUMBER(SEARCH("croate",B552)),ISNUMBER(SEARCH("ukrainien",B552)),ISNUMBER(SEARCH("bulgare",B552)),ISNUMBER(SEARCH("biélorusse",B552)),ISNUMBER(SEARCH("maltais",B552))),"Autres pays d'Europe",IF(OR(ISNUMBER(SEARCH("américain",B552)),ISNUMBER(SEARCH("mexicain",B552)),ISNUMBER(SEARCH("canadien",B552)),ISNUMBER(SEARCH("brésilien",B552)),ISNUMBER(SEARCH("argentin",B552))),"Amérique",IF(OR(ISNUMBER(SEARCH("chinois",B552)),ISNUMBER(SEARCH("japonais",B552)),ISNUMBER(SEARCH("coréen",B552)),ISNUMBER(SEARCH("indien",B552)),ISNUMBER(SEARCH("persan",B552)),ISNUMBER(SEARCH("iranien",B552))),"Asie","(non classée)"))))</f>
        <v/>
      </c>
    </row>
    <row r="553">
      <c r="A553" s="2" t="inlineStr">
        <is>
          <t>MAURICE DENIS</t>
        </is>
      </c>
      <c r="B553" s="2" t="inlineStr">
        <is>
          <t>française</t>
        </is>
      </c>
      <c r="C553" s="2" t="inlineStr">
        <is>
          <t>peinture</t>
        </is>
      </c>
      <c r="D553" s="2" t="inlineStr">
        <is>
          <t>19e</t>
        </is>
      </c>
      <c r="U553">
        <f>IF(ISNUMBER(SEARCH("fran",B553)),"France",IF(OR(ISNUMBER(SEARCH("italien",B553)),ISNUMBER(SEARCH("espagn",B553)),ISNUMBER(SEARCH("catalan",B553)),ISNUMBER(SEARCH("flamand",B553)),ISNUMBER(SEARCH("belge",B553)),ISNUMBER(SEARCH("hollandais",B553)),ISNUMBER(SEARCH("néerlandais",B553)),ISNUMBER(SEARCH("allemand",B553)),ISNUMBER(SEARCH("autrichien",B553)),ISNUMBER(SEARCH("suisse",B553)),ISNUMBER(SEARCH("anglais",B553)),ISNUMBER(SEARCH("britannique",B553)),ISNUMBER(SEARCH("écossais",B553)),ISNUMBER(SEARCH("irlandais",B553)),ISNUMBER(SEARCH("russe",B553)),ISNUMBER(SEARCH("portugais",B553)),ISNUMBER(SEARCH("danois",B553)),ISNUMBER(SEARCH("norvégien",B553)),ISNUMBER(SEARCH("suédois",B553)),ISNUMBER(SEARCH("finlandais",B553)),ISNUMBER(SEARCH("polonais",B553)),ISNUMBER(SEARCH("tchèque",B553)),ISNUMBER(SEARCH("hongrois",B553)),ISNUMBER(SEARCH("grec",B553)),ISNUMBER(SEARCH("byzantin",B553)),ISNUMBER(SEARCH("croate",B553)),ISNUMBER(SEARCH("ukrainien",B553)),ISNUMBER(SEARCH("bulgare",B553)),ISNUMBER(SEARCH("biélorusse",B553)),ISNUMBER(SEARCH("maltais",B553))),"Autres pays d'Europe",IF(OR(ISNUMBER(SEARCH("américain",B553)),ISNUMBER(SEARCH("mexicain",B553)),ISNUMBER(SEARCH("canadien",B553)),ISNUMBER(SEARCH("brésilien",B553)),ISNUMBER(SEARCH("argentin",B553))),"Amérique",IF(OR(ISNUMBER(SEARCH("chinois",B553)),ISNUMBER(SEARCH("japonais",B553)),ISNUMBER(SEARCH("coréen",B553)),ISNUMBER(SEARCH("indien",B553)),ISNUMBER(SEARCH("persan",B553)),ISNUMBER(SEARCH("iranien",B553))),"Asie","(non classée)"))))</f>
        <v/>
      </c>
    </row>
    <row r="554">
      <c r="A554" s="2" t="inlineStr">
        <is>
          <t>MAURICE QUENTIN DE LA TOUR</t>
        </is>
      </c>
      <c r="B554" s="2" t="inlineStr">
        <is>
          <t>française</t>
        </is>
      </c>
      <c r="C554" s="2" t="inlineStr">
        <is>
          <t>peinture</t>
        </is>
      </c>
      <c r="D554" s="2" t="inlineStr">
        <is>
          <t>18e</t>
        </is>
      </c>
      <c r="U554">
        <f>IF(ISNUMBER(SEARCH("fran",B554)),"France",IF(OR(ISNUMBER(SEARCH("italien",B554)),ISNUMBER(SEARCH("espagn",B554)),ISNUMBER(SEARCH("catalan",B554)),ISNUMBER(SEARCH("flamand",B554)),ISNUMBER(SEARCH("belge",B554)),ISNUMBER(SEARCH("hollandais",B554)),ISNUMBER(SEARCH("néerlandais",B554)),ISNUMBER(SEARCH("allemand",B554)),ISNUMBER(SEARCH("autrichien",B554)),ISNUMBER(SEARCH("suisse",B554)),ISNUMBER(SEARCH("anglais",B554)),ISNUMBER(SEARCH("britannique",B554)),ISNUMBER(SEARCH("écossais",B554)),ISNUMBER(SEARCH("irlandais",B554)),ISNUMBER(SEARCH("russe",B554)),ISNUMBER(SEARCH("portugais",B554)),ISNUMBER(SEARCH("danois",B554)),ISNUMBER(SEARCH("norvégien",B554)),ISNUMBER(SEARCH("suédois",B554)),ISNUMBER(SEARCH("finlandais",B554)),ISNUMBER(SEARCH("polonais",B554)),ISNUMBER(SEARCH("tchèque",B554)),ISNUMBER(SEARCH("hongrois",B554)),ISNUMBER(SEARCH("grec",B554)),ISNUMBER(SEARCH("byzantin",B554)),ISNUMBER(SEARCH("croate",B554)),ISNUMBER(SEARCH("ukrainien",B554)),ISNUMBER(SEARCH("bulgare",B554)),ISNUMBER(SEARCH("biélorusse",B554)),ISNUMBER(SEARCH("maltais",B554))),"Autres pays d'Europe",IF(OR(ISNUMBER(SEARCH("américain",B554)),ISNUMBER(SEARCH("mexicain",B554)),ISNUMBER(SEARCH("canadien",B554)),ISNUMBER(SEARCH("brésilien",B554)),ISNUMBER(SEARCH("argentin",B554))),"Amérique",IF(OR(ISNUMBER(SEARCH("chinois",B554)),ISNUMBER(SEARCH("japonais",B554)),ISNUMBER(SEARCH("coréen",B554)),ISNUMBER(SEARCH("indien",B554)),ISNUMBER(SEARCH("persan",B554)),ISNUMBER(SEARCH("iranien",B554))),"Asie","(non classée)"))))</f>
        <v/>
      </c>
    </row>
    <row r="555">
      <c r="A555" s="2" t="inlineStr">
        <is>
          <t>MAURICE UTRILLO</t>
        </is>
      </c>
      <c r="B555" s="2" t="inlineStr">
        <is>
          <t>française</t>
        </is>
      </c>
      <c r="C555" s="2" t="inlineStr">
        <is>
          <t>peinture</t>
        </is>
      </c>
      <c r="D555" s="2" t="inlineStr">
        <is>
          <t>20e</t>
        </is>
      </c>
      <c r="U555">
        <f>IF(ISNUMBER(SEARCH("fran",B555)),"France",IF(OR(ISNUMBER(SEARCH("italien",B555)),ISNUMBER(SEARCH("espagn",B555)),ISNUMBER(SEARCH("catalan",B555)),ISNUMBER(SEARCH("flamand",B555)),ISNUMBER(SEARCH("belge",B555)),ISNUMBER(SEARCH("hollandais",B555)),ISNUMBER(SEARCH("néerlandais",B555)),ISNUMBER(SEARCH("allemand",B555)),ISNUMBER(SEARCH("autrichien",B555)),ISNUMBER(SEARCH("suisse",B555)),ISNUMBER(SEARCH("anglais",B555)),ISNUMBER(SEARCH("britannique",B555)),ISNUMBER(SEARCH("écossais",B555)),ISNUMBER(SEARCH("irlandais",B555)),ISNUMBER(SEARCH("russe",B555)),ISNUMBER(SEARCH("portugais",B555)),ISNUMBER(SEARCH("danois",B555)),ISNUMBER(SEARCH("norvégien",B555)),ISNUMBER(SEARCH("suédois",B555)),ISNUMBER(SEARCH("finlandais",B555)),ISNUMBER(SEARCH("polonais",B555)),ISNUMBER(SEARCH("tchèque",B555)),ISNUMBER(SEARCH("hongrois",B555)),ISNUMBER(SEARCH("grec",B555)),ISNUMBER(SEARCH("byzantin",B555)),ISNUMBER(SEARCH("croate",B555)),ISNUMBER(SEARCH("ukrainien",B555)),ISNUMBER(SEARCH("bulgare",B555)),ISNUMBER(SEARCH("biélorusse",B555)),ISNUMBER(SEARCH("maltais",B555))),"Autres pays d'Europe",IF(OR(ISNUMBER(SEARCH("américain",B555)),ISNUMBER(SEARCH("mexicain",B555)),ISNUMBER(SEARCH("canadien",B555)),ISNUMBER(SEARCH("brésilien",B555)),ISNUMBER(SEARCH("argentin",B555))),"Amérique",IF(OR(ISNUMBER(SEARCH("chinois",B555)),ISNUMBER(SEARCH("japonais",B555)),ISNUMBER(SEARCH("coréen",B555)),ISNUMBER(SEARCH("indien",B555)),ISNUMBER(SEARCH("persan",B555)),ISNUMBER(SEARCH("iranien",B555))),"Asie","(non classée)"))))</f>
        <v/>
      </c>
    </row>
    <row r="556">
      <c r="A556" s="2" t="inlineStr">
        <is>
          <t>MAX BECKMANN</t>
        </is>
      </c>
      <c r="B556" s="2" t="inlineStr">
        <is>
          <t>allemande</t>
        </is>
      </c>
      <c r="C556" s="2" t="inlineStr">
        <is>
          <t>peinture</t>
        </is>
      </c>
      <c r="D556" s="2" t="inlineStr">
        <is>
          <t>20e</t>
        </is>
      </c>
      <c r="U556">
        <f>IF(ISNUMBER(SEARCH("fran",B556)),"France",IF(OR(ISNUMBER(SEARCH("italien",B556)),ISNUMBER(SEARCH("espagn",B556)),ISNUMBER(SEARCH("catalan",B556)),ISNUMBER(SEARCH("flamand",B556)),ISNUMBER(SEARCH("belge",B556)),ISNUMBER(SEARCH("hollandais",B556)),ISNUMBER(SEARCH("néerlandais",B556)),ISNUMBER(SEARCH("allemand",B556)),ISNUMBER(SEARCH("autrichien",B556)),ISNUMBER(SEARCH("suisse",B556)),ISNUMBER(SEARCH("anglais",B556)),ISNUMBER(SEARCH("britannique",B556)),ISNUMBER(SEARCH("écossais",B556)),ISNUMBER(SEARCH("irlandais",B556)),ISNUMBER(SEARCH("russe",B556)),ISNUMBER(SEARCH("portugais",B556)),ISNUMBER(SEARCH("danois",B556)),ISNUMBER(SEARCH("norvégien",B556)),ISNUMBER(SEARCH("suédois",B556)),ISNUMBER(SEARCH("finlandais",B556)),ISNUMBER(SEARCH("polonais",B556)),ISNUMBER(SEARCH("tchèque",B556)),ISNUMBER(SEARCH("hongrois",B556)),ISNUMBER(SEARCH("grec",B556)),ISNUMBER(SEARCH("byzantin",B556)),ISNUMBER(SEARCH("croate",B556)),ISNUMBER(SEARCH("ukrainien",B556)),ISNUMBER(SEARCH("bulgare",B556)),ISNUMBER(SEARCH("biélorusse",B556)),ISNUMBER(SEARCH("maltais",B556))),"Autres pays d'Europe",IF(OR(ISNUMBER(SEARCH("américain",B556)),ISNUMBER(SEARCH("mexicain",B556)),ISNUMBER(SEARCH("canadien",B556)),ISNUMBER(SEARCH("brésilien",B556)),ISNUMBER(SEARCH("argentin",B556))),"Amérique",IF(OR(ISNUMBER(SEARCH("chinois",B556)),ISNUMBER(SEARCH("japonais",B556)),ISNUMBER(SEARCH("coréen",B556)),ISNUMBER(SEARCH("indien",B556)),ISNUMBER(SEARCH("persan",B556)),ISNUMBER(SEARCH("iranien",B556))),"Asie","(non classée)"))))</f>
        <v/>
      </c>
    </row>
    <row r="557">
      <c r="A557" s="2" t="inlineStr">
        <is>
          <t>MAX PECHSTEIN</t>
        </is>
      </c>
      <c r="B557" s="2" t="inlineStr">
        <is>
          <t>allemande</t>
        </is>
      </c>
      <c r="C557" s="2" t="inlineStr">
        <is>
          <t>peinture</t>
        </is>
      </c>
      <c r="D557" s="2" t="inlineStr">
        <is>
          <t>20e</t>
        </is>
      </c>
      <c r="U557">
        <f>IF(ISNUMBER(SEARCH("fran",B557)),"France",IF(OR(ISNUMBER(SEARCH("italien",B557)),ISNUMBER(SEARCH("espagn",B557)),ISNUMBER(SEARCH("catalan",B557)),ISNUMBER(SEARCH("flamand",B557)),ISNUMBER(SEARCH("belge",B557)),ISNUMBER(SEARCH("hollandais",B557)),ISNUMBER(SEARCH("néerlandais",B557)),ISNUMBER(SEARCH("allemand",B557)),ISNUMBER(SEARCH("autrichien",B557)),ISNUMBER(SEARCH("suisse",B557)),ISNUMBER(SEARCH("anglais",B557)),ISNUMBER(SEARCH("britannique",B557)),ISNUMBER(SEARCH("écossais",B557)),ISNUMBER(SEARCH("irlandais",B557)),ISNUMBER(SEARCH("russe",B557)),ISNUMBER(SEARCH("portugais",B557)),ISNUMBER(SEARCH("danois",B557)),ISNUMBER(SEARCH("norvégien",B557)),ISNUMBER(SEARCH("suédois",B557)),ISNUMBER(SEARCH("finlandais",B557)),ISNUMBER(SEARCH("polonais",B557)),ISNUMBER(SEARCH("tchèque",B557)),ISNUMBER(SEARCH("hongrois",B557)),ISNUMBER(SEARCH("grec",B557)),ISNUMBER(SEARCH("byzantin",B557)),ISNUMBER(SEARCH("croate",B557)),ISNUMBER(SEARCH("ukrainien",B557)),ISNUMBER(SEARCH("bulgare",B557)),ISNUMBER(SEARCH("biélorusse",B557)),ISNUMBER(SEARCH("maltais",B557))),"Autres pays d'Europe",IF(OR(ISNUMBER(SEARCH("américain",B557)),ISNUMBER(SEARCH("mexicain",B557)),ISNUMBER(SEARCH("canadien",B557)),ISNUMBER(SEARCH("brésilien",B557)),ISNUMBER(SEARCH("argentin",B557))),"Amérique",IF(OR(ISNUMBER(SEARCH("chinois",B557)),ISNUMBER(SEARCH("japonais",B557)),ISNUMBER(SEARCH("coréen",B557)),ISNUMBER(SEARCH("indien",B557)),ISNUMBER(SEARCH("persan",B557)),ISNUMBER(SEARCH("iranien",B557))),"Asie","(non classée)"))))</f>
        <v/>
      </c>
    </row>
    <row r="558">
      <c r="A558" s="2" t="inlineStr">
        <is>
          <t>MAX SLEVOGT</t>
        </is>
      </c>
      <c r="B558" s="2" t="inlineStr">
        <is>
          <t>allemande</t>
        </is>
      </c>
      <c r="C558" s="2" t="inlineStr">
        <is>
          <t>peinture</t>
        </is>
      </c>
      <c r="D558" s="2" t="inlineStr">
        <is>
          <t>20e</t>
        </is>
      </c>
      <c r="U558">
        <f>IF(ISNUMBER(SEARCH("fran",B558)),"France",IF(OR(ISNUMBER(SEARCH("italien",B558)),ISNUMBER(SEARCH("espagn",B558)),ISNUMBER(SEARCH("catalan",B558)),ISNUMBER(SEARCH("flamand",B558)),ISNUMBER(SEARCH("belge",B558)),ISNUMBER(SEARCH("hollandais",B558)),ISNUMBER(SEARCH("néerlandais",B558)),ISNUMBER(SEARCH("allemand",B558)),ISNUMBER(SEARCH("autrichien",B558)),ISNUMBER(SEARCH("suisse",B558)),ISNUMBER(SEARCH("anglais",B558)),ISNUMBER(SEARCH("britannique",B558)),ISNUMBER(SEARCH("écossais",B558)),ISNUMBER(SEARCH("irlandais",B558)),ISNUMBER(SEARCH("russe",B558)),ISNUMBER(SEARCH("portugais",B558)),ISNUMBER(SEARCH("danois",B558)),ISNUMBER(SEARCH("norvégien",B558)),ISNUMBER(SEARCH("suédois",B558)),ISNUMBER(SEARCH("finlandais",B558)),ISNUMBER(SEARCH("polonais",B558)),ISNUMBER(SEARCH("tchèque",B558)),ISNUMBER(SEARCH("hongrois",B558)),ISNUMBER(SEARCH("grec",B558)),ISNUMBER(SEARCH("byzantin",B558)),ISNUMBER(SEARCH("croate",B558)),ISNUMBER(SEARCH("ukrainien",B558)),ISNUMBER(SEARCH("bulgare",B558)),ISNUMBER(SEARCH("biélorusse",B558)),ISNUMBER(SEARCH("maltais",B558))),"Autres pays d'Europe",IF(OR(ISNUMBER(SEARCH("américain",B558)),ISNUMBER(SEARCH("mexicain",B558)),ISNUMBER(SEARCH("canadien",B558)),ISNUMBER(SEARCH("brésilien",B558)),ISNUMBER(SEARCH("argentin",B558))),"Amérique",IF(OR(ISNUMBER(SEARCH("chinois",B558)),ISNUMBER(SEARCH("japonais",B558)),ISNUMBER(SEARCH("coréen",B558)),ISNUMBER(SEARCH("indien",B558)),ISNUMBER(SEARCH("persan",B558)),ISNUMBER(SEARCH("iranien",B558))),"Asie","(non classée)"))))</f>
        <v/>
      </c>
    </row>
    <row r="559">
      <c r="A559" s="2" t="inlineStr">
        <is>
          <t>MAÎTRE DU DIPTYQUE DE WILTON</t>
        </is>
      </c>
      <c r="B559" s="2" t="inlineStr">
        <is>
          <t>anglaise (Royaume-Uni)</t>
        </is>
      </c>
      <c r="C559" s="2" t="inlineStr">
        <is>
          <t>peinture</t>
        </is>
      </c>
      <c r="D559" s="2" t="inlineStr">
        <is>
          <t>14e</t>
        </is>
      </c>
      <c r="U559">
        <f>IF(ISNUMBER(SEARCH("fran",B559)),"France",IF(OR(ISNUMBER(SEARCH("italien",B559)),ISNUMBER(SEARCH("espagn",B559)),ISNUMBER(SEARCH("catalan",B559)),ISNUMBER(SEARCH("flamand",B559)),ISNUMBER(SEARCH("belge",B559)),ISNUMBER(SEARCH("hollandais",B559)),ISNUMBER(SEARCH("néerlandais",B559)),ISNUMBER(SEARCH("allemand",B559)),ISNUMBER(SEARCH("autrichien",B559)),ISNUMBER(SEARCH("suisse",B559)),ISNUMBER(SEARCH("anglais",B559)),ISNUMBER(SEARCH("britannique",B559)),ISNUMBER(SEARCH("écossais",B559)),ISNUMBER(SEARCH("irlandais",B559)),ISNUMBER(SEARCH("russe",B559)),ISNUMBER(SEARCH("portugais",B559)),ISNUMBER(SEARCH("danois",B559)),ISNUMBER(SEARCH("norvégien",B559)),ISNUMBER(SEARCH("suédois",B559)),ISNUMBER(SEARCH("finlandais",B559)),ISNUMBER(SEARCH("polonais",B559)),ISNUMBER(SEARCH("tchèque",B559)),ISNUMBER(SEARCH("hongrois",B559)),ISNUMBER(SEARCH("grec",B559)),ISNUMBER(SEARCH("byzantin",B559)),ISNUMBER(SEARCH("croate",B559)),ISNUMBER(SEARCH("ukrainien",B559)),ISNUMBER(SEARCH("bulgare",B559)),ISNUMBER(SEARCH("biélorusse",B559)),ISNUMBER(SEARCH("maltais",B559))),"Autres pays d'Europe",IF(OR(ISNUMBER(SEARCH("américain",B559)),ISNUMBER(SEARCH("mexicain",B559)),ISNUMBER(SEARCH("canadien",B559)),ISNUMBER(SEARCH("brésilien",B559)),ISNUMBER(SEARCH("argentin",B559))),"Amérique",IF(OR(ISNUMBER(SEARCH("chinois",B559)),ISNUMBER(SEARCH("japonais",B559)),ISNUMBER(SEARCH("coréen",B559)),ISNUMBER(SEARCH("indien",B559)),ISNUMBER(SEARCH("persan",B559)),ISNUMBER(SEARCH("iranien",B559))),"Asie","(non classée)"))))</f>
        <v/>
      </c>
    </row>
    <row r="560">
      <c r="A560" s="2" t="inlineStr">
        <is>
          <t>MEINDERT HOBBEMA</t>
        </is>
      </c>
      <c r="B560" s="2" t="inlineStr">
        <is>
          <t>hollandaise (Pays-Bas)</t>
        </is>
      </c>
      <c r="C560" s="2" t="inlineStr">
        <is>
          <t>peinture</t>
        </is>
      </c>
      <c r="D560" s="2" t="inlineStr">
        <is>
          <t>17e</t>
        </is>
      </c>
      <c r="U560">
        <f>IF(ISNUMBER(SEARCH("fran",B560)),"France",IF(OR(ISNUMBER(SEARCH("italien",B560)),ISNUMBER(SEARCH("espagn",B560)),ISNUMBER(SEARCH("catalan",B560)),ISNUMBER(SEARCH("flamand",B560)),ISNUMBER(SEARCH("belge",B560)),ISNUMBER(SEARCH("hollandais",B560)),ISNUMBER(SEARCH("néerlandais",B560)),ISNUMBER(SEARCH("allemand",B560)),ISNUMBER(SEARCH("autrichien",B560)),ISNUMBER(SEARCH("suisse",B560)),ISNUMBER(SEARCH("anglais",B560)),ISNUMBER(SEARCH("britannique",B560)),ISNUMBER(SEARCH("écossais",B560)),ISNUMBER(SEARCH("irlandais",B560)),ISNUMBER(SEARCH("russe",B560)),ISNUMBER(SEARCH("portugais",B560)),ISNUMBER(SEARCH("danois",B560)),ISNUMBER(SEARCH("norvégien",B560)),ISNUMBER(SEARCH("suédois",B560)),ISNUMBER(SEARCH("finlandais",B560)),ISNUMBER(SEARCH("polonais",B560)),ISNUMBER(SEARCH("tchèque",B560)),ISNUMBER(SEARCH("hongrois",B560)),ISNUMBER(SEARCH("grec",B560)),ISNUMBER(SEARCH("byzantin",B560)),ISNUMBER(SEARCH("croate",B560)),ISNUMBER(SEARCH("ukrainien",B560)),ISNUMBER(SEARCH("bulgare",B560)),ISNUMBER(SEARCH("biélorusse",B560)),ISNUMBER(SEARCH("maltais",B560))),"Autres pays d'Europe",IF(OR(ISNUMBER(SEARCH("américain",B560)),ISNUMBER(SEARCH("mexicain",B560)),ISNUMBER(SEARCH("canadien",B560)),ISNUMBER(SEARCH("brésilien",B560)),ISNUMBER(SEARCH("argentin",B560))),"Amérique",IF(OR(ISNUMBER(SEARCH("chinois",B560)),ISNUMBER(SEARCH("japonais",B560)),ISNUMBER(SEARCH("coréen",B560)),ISNUMBER(SEARCH("indien",B560)),ISNUMBER(SEARCH("persan",B560)),ISNUMBER(SEARCH("iranien",B560))),"Asie","(non classée)"))))</f>
        <v/>
      </c>
    </row>
    <row r="561">
      <c r="A561" s="2" t="inlineStr">
        <is>
          <t>MEINRAD GUGGENBICHLER</t>
        </is>
      </c>
      <c r="B561" s="2" t="inlineStr">
        <is>
          <t>allemande</t>
        </is>
      </c>
      <c r="C561" s="2" t="inlineStr">
        <is>
          <t>sculpture</t>
        </is>
      </c>
      <c r="D561" s="2" t="inlineStr">
        <is>
          <t>17e</t>
        </is>
      </c>
      <c r="U561">
        <f>IF(ISNUMBER(SEARCH("fran",B561)),"France",IF(OR(ISNUMBER(SEARCH("italien",B561)),ISNUMBER(SEARCH("espagn",B561)),ISNUMBER(SEARCH("catalan",B561)),ISNUMBER(SEARCH("flamand",B561)),ISNUMBER(SEARCH("belge",B561)),ISNUMBER(SEARCH("hollandais",B561)),ISNUMBER(SEARCH("néerlandais",B561)),ISNUMBER(SEARCH("allemand",B561)),ISNUMBER(SEARCH("autrichien",B561)),ISNUMBER(SEARCH("suisse",B561)),ISNUMBER(SEARCH("anglais",B561)),ISNUMBER(SEARCH("britannique",B561)),ISNUMBER(SEARCH("écossais",B561)),ISNUMBER(SEARCH("irlandais",B561)),ISNUMBER(SEARCH("russe",B561)),ISNUMBER(SEARCH("portugais",B561)),ISNUMBER(SEARCH("danois",B561)),ISNUMBER(SEARCH("norvégien",B561)),ISNUMBER(SEARCH("suédois",B561)),ISNUMBER(SEARCH("finlandais",B561)),ISNUMBER(SEARCH("polonais",B561)),ISNUMBER(SEARCH("tchèque",B561)),ISNUMBER(SEARCH("hongrois",B561)),ISNUMBER(SEARCH("grec",B561)),ISNUMBER(SEARCH("byzantin",B561)),ISNUMBER(SEARCH("croate",B561)),ISNUMBER(SEARCH("ukrainien",B561)),ISNUMBER(SEARCH("bulgare",B561)),ISNUMBER(SEARCH("biélorusse",B561)),ISNUMBER(SEARCH("maltais",B561))),"Autres pays d'Europe",IF(OR(ISNUMBER(SEARCH("américain",B561)),ISNUMBER(SEARCH("mexicain",B561)),ISNUMBER(SEARCH("canadien",B561)),ISNUMBER(SEARCH("brésilien",B561)),ISNUMBER(SEARCH("argentin",B561))),"Amérique",IF(OR(ISNUMBER(SEARCH("chinois",B561)),ISNUMBER(SEARCH("japonais",B561)),ISNUMBER(SEARCH("coréen",B561)),ISNUMBER(SEARCH("indien",B561)),ISNUMBER(SEARCH("persan",B561)),ISNUMBER(SEARCH("iranien",B561))),"Asie","(non classée)"))))</f>
        <v/>
      </c>
    </row>
    <row r="562">
      <c r="A562" s="2" t="inlineStr">
        <is>
          <t>MELCHIOR BROEDERLAM</t>
        </is>
      </c>
      <c r="B562" s="2" t="inlineStr">
        <is>
          <t>flamande (Belgique)</t>
        </is>
      </c>
      <c r="C562" s="2" t="inlineStr">
        <is>
          <t>peinture</t>
        </is>
      </c>
      <c r="D562" s="2" t="inlineStr">
        <is>
          <t>14e</t>
        </is>
      </c>
      <c r="U562">
        <f>IF(ISNUMBER(SEARCH("fran",B562)),"France",IF(OR(ISNUMBER(SEARCH("italien",B562)),ISNUMBER(SEARCH("espagn",B562)),ISNUMBER(SEARCH("catalan",B562)),ISNUMBER(SEARCH("flamand",B562)),ISNUMBER(SEARCH("belge",B562)),ISNUMBER(SEARCH("hollandais",B562)),ISNUMBER(SEARCH("néerlandais",B562)),ISNUMBER(SEARCH("allemand",B562)),ISNUMBER(SEARCH("autrichien",B562)),ISNUMBER(SEARCH("suisse",B562)),ISNUMBER(SEARCH("anglais",B562)),ISNUMBER(SEARCH("britannique",B562)),ISNUMBER(SEARCH("écossais",B562)),ISNUMBER(SEARCH("irlandais",B562)),ISNUMBER(SEARCH("russe",B562)),ISNUMBER(SEARCH("portugais",B562)),ISNUMBER(SEARCH("danois",B562)),ISNUMBER(SEARCH("norvégien",B562)),ISNUMBER(SEARCH("suédois",B562)),ISNUMBER(SEARCH("finlandais",B562)),ISNUMBER(SEARCH("polonais",B562)),ISNUMBER(SEARCH("tchèque",B562)),ISNUMBER(SEARCH("hongrois",B562)),ISNUMBER(SEARCH("grec",B562)),ISNUMBER(SEARCH("byzantin",B562)),ISNUMBER(SEARCH("croate",B562)),ISNUMBER(SEARCH("ukrainien",B562)),ISNUMBER(SEARCH("bulgare",B562)),ISNUMBER(SEARCH("biélorusse",B562)),ISNUMBER(SEARCH("maltais",B562))),"Autres pays d'Europe",IF(OR(ISNUMBER(SEARCH("américain",B562)),ISNUMBER(SEARCH("mexicain",B562)),ISNUMBER(SEARCH("canadien",B562)),ISNUMBER(SEARCH("brésilien",B562)),ISNUMBER(SEARCH("argentin",B562))),"Amérique",IF(OR(ISNUMBER(SEARCH("chinois",B562)),ISNUMBER(SEARCH("japonais",B562)),ISNUMBER(SEARCH("coréen",B562)),ISNUMBER(SEARCH("indien",B562)),ISNUMBER(SEARCH("persan",B562)),ISNUMBER(SEARCH("iranien",B562))),"Asie","(non classée)"))))</f>
        <v/>
      </c>
    </row>
    <row r="563">
      <c r="A563" s="2" t="inlineStr">
        <is>
          <t>MELCHIORRE CAFFÀ</t>
        </is>
      </c>
      <c r="B563" s="2" t="inlineStr">
        <is>
          <t>maltaise</t>
        </is>
      </c>
      <c r="C563" s="2" t="inlineStr">
        <is>
          <t>sculpture</t>
        </is>
      </c>
      <c r="D563" s="2" t="inlineStr">
        <is>
          <t>17e</t>
        </is>
      </c>
      <c r="U563">
        <f>IF(ISNUMBER(SEARCH("fran",B563)),"France",IF(OR(ISNUMBER(SEARCH("italien",B563)),ISNUMBER(SEARCH("espagn",B563)),ISNUMBER(SEARCH("catalan",B563)),ISNUMBER(SEARCH("flamand",B563)),ISNUMBER(SEARCH("belge",B563)),ISNUMBER(SEARCH("hollandais",B563)),ISNUMBER(SEARCH("néerlandais",B563)),ISNUMBER(SEARCH("allemand",B563)),ISNUMBER(SEARCH("autrichien",B563)),ISNUMBER(SEARCH("suisse",B563)),ISNUMBER(SEARCH("anglais",B563)),ISNUMBER(SEARCH("britannique",B563)),ISNUMBER(SEARCH("écossais",B563)),ISNUMBER(SEARCH("irlandais",B563)),ISNUMBER(SEARCH("russe",B563)),ISNUMBER(SEARCH("portugais",B563)),ISNUMBER(SEARCH("danois",B563)),ISNUMBER(SEARCH("norvégien",B563)),ISNUMBER(SEARCH("suédois",B563)),ISNUMBER(SEARCH("finlandais",B563)),ISNUMBER(SEARCH("polonais",B563)),ISNUMBER(SEARCH("tchèque",B563)),ISNUMBER(SEARCH("hongrois",B563)),ISNUMBER(SEARCH("grec",B563)),ISNUMBER(SEARCH("byzantin",B563)),ISNUMBER(SEARCH("croate",B563)),ISNUMBER(SEARCH("ukrainien",B563)),ISNUMBER(SEARCH("bulgare",B563)),ISNUMBER(SEARCH("biélorusse",B563)),ISNUMBER(SEARCH("maltais",B563))),"Autres pays d'Europe",IF(OR(ISNUMBER(SEARCH("américain",B563)),ISNUMBER(SEARCH("mexicain",B563)),ISNUMBER(SEARCH("canadien",B563)),ISNUMBER(SEARCH("brésilien",B563)),ISNUMBER(SEARCH("argentin",B563))),"Amérique",IF(OR(ISNUMBER(SEARCH("chinois",B563)),ISNUMBER(SEARCH("japonais",B563)),ISNUMBER(SEARCH("coréen",B563)),ISNUMBER(SEARCH("indien",B563)),ISNUMBER(SEARCH("persan",B563)),ISNUMBER(SEARCH("iranien",B563))),"Asie","(non classée)"))))</f>
        <v/>
      </c>
    </row>
    <row r="564">
      <c r="A564" s="2" t="inlineStr">
        <is>
          <t>MELOZZO DA FORLÌ</t>
        </is>
      </c>
      <c r="B564" s="2" t="inlineStr">
        <is>
          <t>italienne</t>
        </is>
      </c>
      <c r="C564" s="2" t="inlineStr">
        <is>
          <t>peinture</t>
        </is>
      </c>
      <c r="D564" s="2" t="inlineStr">
        <is>
          <t>15e</t>
        </is>
      </c>
      <c r="U564">
        <f>IF(ISNUMBER(SEARCH("fran",B564)),"France",IF(OR(ISNUMBER(SEARCH("italien",B564)),ISNUMBER(SEARCH("espagn",B564)),ISNUMBER(SEARCH("catalan",B564)),ISNUMBER(SEARCH("flamand",B564)),ISNUMBER(SEARCH("belge",B564)),ISNUMBER(SEARCH("hollandais",B564)),ISNUMBER(SEARCH("néerlandais",B564)),ISNUMBER(SEARCH("allemand",B564)),ISNUMBER(SEARCH("autrichien",B564)),ISNUMBER(SEARCH("suisse",B564)),ISNUMBER(SEARCH("anglais",B564)),ISNUMBER(SEARCH("britannique",B564)),ISNUMBER(SEARCH("écossais",B564)),ISNUMBER(SEARCH("irlandais",B564)),ISNUMBER(SEARCH("russe",B564)),ISNUMBER(SEARCH("portugais",B564)),ISNUMBER(SEARCH("danois",B564)),ISNUMBER(SEARCH("norvégien",B564)),ISNUMBER(SEARCH("suédois",B564)),ISNUMBER(SEARCH("finlandais",B564)),ISNUMBER(SEARCH("polonais",B564)),ISNUMBER(SEARCH("tchèque",B564)),ISNUMBER(SEARCH("hongrois",B564)),ISNUMBER(SEARCH("grec",B564)),ISNUMBER(SEARCH("byzantin",B564)),ISNUMBER(SEARCH("croate",B564)),ISNUMBER(SEARCH("ukrainien",B564)),ISNUMBER(SEARCH("bulgare",B564)),ISNUMBER(SEARCH("biélorusse",B564)),ISNUMBER(SEARCH("maltais",B564))),"Autres pays d'Europe",IF(OR(ISNUMBER(SEARCH("américain",B564)),ISNUMBER(SEARCH("mexicain",B564)),ISNUMBER(SEARCH("canadien",B564)),ISNUMBER(SEARCH("brésilien",B564)),ISNUMBER(SEARCH("argentin",B564))),"Amérique",IF(OR(ISNUMBER(SEARCH("chinois",B564)),ISNUMBER(SEARCH("japonais",B564)),ISNUMBER(SEARCH("coréen",B564)),ISNUMBER(SEARCH("indien",B564)),ISNUMBER(SEARCH("persan",B564)),ISNUMBER(SEARCH("iranien",B564))),"Asie","(non classée)"))))</f>
        <v/>
      </c>
    </row>
    <row r="565">
      <c r="A565" s="2" t="inlineStr">
        <is>
          <t>MICHAEL PACHER</t>
        </is>
      </c>
      <c r="B565" s="2" t="inlineStr">
        <is>
          <t>autrichienne</t>
        </is>
      </c>
      <c r="C565" s="2" t="inlineStr">
        <is>
          <t>peinture</t>
        </is>
      </c>
      <c r="D565" s="2" t="inlineStr">
        <is>
          <t>15e</t>
        </is>
      </c>
      <c r="U565">
        <f>IF(ISNUMBER(SEARCH("fran",B565)),"France",IF(OR(ISNUMBER(SEARCH("italien",B565)),ISNUMBER(SEARCH("espagn",B565)),ISNUMBER(SEARCH("catalan",B565)),ISNUMBER(SEARCH("flamand",B565)),ISNUMBER(SEARCH("belge",B565)),ISNUMBER(SEARCH("hollandais",B565)),ISNUMBER(SEARCH("néerlandais",B565)),ISNUMBER(SEARCH("allemand",B565)),ISNUMBER(SEARCH("autrichien",B565)),ISNUMBER(SEARCH("suisse",B565)),ISNUMBER(SEARCH("anglais",B565)),ISNUMBER(SEARCH("britannique",B565)),ISNUMBER(SEARCH("écossais",B565)),ISNUMBER(SEARCH("irlandais",B565)),ISNUMBER(SEARCH("russe",B565)),ISNUMBER(SEARCH("portugais",B565)),ISNUMBER(SEARCH("danois",B565)),ISNUMBER(SEARCH("norvégien",B565)),ISNUMBER(SEARCH("suédois",B565)),ISNUMBER(SEARCH("finlandais",B565)),ISNUMBER(SEARCH("polonais",B565)),ISNUMBER(SEARCH("tchèque",B565)),ISNUMBER(SEARCH("hongrois",B565)),ISNUMBER(SEARCH("grec",B565)),ISNUMBER(SEARCH("byzantin",B565)),ISNUMBER(SEARCH("croate",B565)),ISNUMBER(SEARCH("ukrainien",B565)),ISNUMBER(SEARCH("bulgare",B565)),ISNUMBER(SEARCH("biélorusse",B565)),ISNUMBER(SEARCH("maltais",B565))),"Autres pays d'Europe",IF(OR(ISNUMBER(SEARCH("américain",B565)),ISNUMBER(SEARCH("mexicain",B565)),ISNUMBER(SEARCH("canadien",B565)),ISNUMBER(SEARCH("brésilien",B565)),ISNUMBER(SEARCH("argentin",B565))),"Amérique",IF(OR(ISNUMBER(SEARCH("chinois",B565)),ISNUMBER(SEARCH("japonais",B565)),ISNUMBER(SEARCH("coréen",B565)),ISNUMBER(SEARCH("indien",B565)),ISNUMBER(SEARCH("persan",B565)),ISNUMBER(SEARCH("iranien",B565))),"Asie","(non classée)"))))</f>
        <v/>
      </c>
    </row>
    <row r="566">
      <c r="A566" s="2" t="inlineStr">
        <is>
          <t>MICHEL ANGUIER</t>
        </is>
      </c>
      <c r="B566" s="2" t="inlineStr">
        <is>
          <t>française</t>
        </is>
      </c>
      <c r="C566" s="2" t="inlineStr">
        <is>
          <t>sculpture</t>
        </is>
      </c>
      <c r="D566" s="2" t="inlineStr">
        <is>
          <t>17e</t>
        </is>
      </c>
      <c r="U566">
        <f>IF(ISNUMBER(SEARCH("fran",B566)),"France",IF(OR(ISNUMBER(SEARCH("italien",B566)),ISNUMBER(SEARCH("espagn",B566)),ISNUMBER(SEARCH("catalan",B566)),ISNUMBER(SEARCH("flamand",B566)),ISNUMBER(SEARCH("belge",B566)),ISNUMBER(SEARCH("hollandais",B566)),ISNUMBER(SEARCH("néerlandais",B566)),ISNUMBER(SEARCH("allemand",B566)),ISNUMBER(SEARCH("autrichien",B566)),ISNUMBER(SEARCH("suisse",B566)),ISNUMBER(SEARCH("anglais",B566)),ISNUMBER(SEARCH("britannique",B566)),ISNUMBER(SEARCH("écossais",B566)),ISNUMBER(SEARCH("irlandais",B566)),ISNUMBER(SEARCH("russe",B566)),ISNUMBER(SEARCH("portugais",B566)),ISNUMBER(SEARCH("danois",B566)),ISNUMBER(SEARCH("norvégien",B566)),ISNUMBER(SEARCH("suédois",B566)),ISNUMBER(SEARCH("finlandais",B566)),ISNUMBER(SEARCH("polonais",B566)),ISNUMBER(SEARCH("tchèque",B566)),ISNUMBER(SEARCH("hongrois",B566)),ISNUMBER(SEARCH("grec",B566)),ISNUMBER(SEARCH("byzantin",B566)),ISNUMBER(SEARCH("croate",B566)),ISNUMBER(SEARCH("ukrainien",B566)),ISNUMBER(SEARCH("bulgare",B566)),ISNUMBER(SEARCH("biélorusse",B566)),ISNUMBER(SEARCH("maltais",B566))),"Autres pays d'Europe",IF(OR(ISNUMBER(SEARCH("américain",B566)),ISNUMBER(SEARCH("mexicain",B566)),ISNUMBER(SEARCH("canadien",B566)),ISNUMBER(SEARCH("brésilien",B566)),ISNUMBER(SEARCH("argentin",B566))),"Amérique",IF(OR(ISNUMBER(SEARCH("chinois",B566)),ISNUMBER(SEARCH("japonais",B566)),ISNUMBER(SEARCH("coréen",B566)),ISNUMBER(SEARCH("indien",B566)),ISNUMBER(SEARCH("persan",B566)),ISNUMBER(SEARCH("iranien",B566))),"Asie","(non classée)"))))</f>
        <v/>
      </c>
    </row>
    <row r="567">
      <c r="A567" s="2" t="inlineStr">
        <is>
          <t>MICHEL COLOMBE</t>
        </is>
      </c>
      <c r="B567" s="2" t="inlineStr">
        <is>
          <t>française</t>
        </is>
      </c>
      <c r="C567" s="2" t="inlineStr">
        <is>
          <t>sculpture</t>
        </is>
      </c>
      <c r="D567" s="2" t="inlineStr">
        <is>
          <t>16e</t>
        </is>
      </c>
      <c r="U567">
        <f>IF(ISNUMBER(SEARCH("fran",B567)),"France",IF(OR(ISNUMBER(SEARCH("italien",B567)),ISNUMBER(SEARCH("espagn",B567)),ISNUMBER(SEARCH("catalan",B567)),ISNUMBER(SEARCH("flamand",B567)),ISNUMBER(SEARCH("belge",B567)),ISNUMBER(SEARCH("hollandais",B567)),ISNUMBER(SEARCH("néerlandais",B567)),ISNUMBER(SEARCH("allemand",B567)),ISNUMBER(SEARCH("autrichien",B567)),ISNUMBER(SEARCH("suisse",B567)),ISNUMBER(SEARCH("anglais",B567)),ISNUMBER(SEARCH("britannique",B567)),ISNUMBER(SEARCH("écossais",B567)),ISNUMBER(SEARCH("irlandais",B567)),ISNUMBER(SEARCH("russe",B567)),ISNUMBER(SEARCH("portugais",B567)),ISNUMBER(SEARCH("danois",B567)),ISNUMBER(SEARCH("norvégien",B567)),ISNUMBER(SEARCH("suédois",B567)),ISNUMBER(SEARCH("finlandais",B567)),ISNUMBER(SEARCH("polonais",B567)),ISNUMBER(SEARCH("tchèque",B567)),ISNUMBER(SEARCH("hongrois",B567)),ISNUMBER(SEARCH("grec",B567)),ISNUMBER(SEARCH("byzantin",B567)),ISNUMBER(SEARCH("croate",B567)),ISNUMBER(SEARCH("ukrainien",B567)),ISNUMBER(SEARCH("bulgare",B567)),ISNUMBER(SEARCH("biélorusse",B567)),ISNUMBER(SEARCH("maltais",B567))),"Autres pays d'Europe",IF(OR(ISNUMBER(SEARCH("américain",B567)),ISNUMBER(SEARCH("mexicain",B567)),ISNUMBER(SEARCH("canadien",B567)),ISNUMBER(SEARCH("brésilien",B567)),ISNUMBER(SEARCH("argentin",B567))),"Amérique",IF(OR(ISNUMBER(SEARCH("chinois",B567)),ISNUMBER(SEARCH("japonais",B567)),ISNUMBER(SEARCH("coréen",B567)),ISNUMBER(SEARCH("indien",B567)),ISNUMBER(SEARCH("persan",B567)),ISNUMBER(SEARCH("iranien",B567))),"Asie","(non classée)"))))</f>
        <v/>
      </c>
    </row>
    <row r="568">
      <c r="A568" s="2" t="inlineStr">
        <is>
          <t>MICHEL-ANGE SLODTZ</t>
        </is>
      </c>
      <c r="B568" s="2" t="inlineStr">
        <is>
          <t>française</t>
        </is>
      </c>
      <c r="C568" s="2" t="inlineStr">
        <is>
          <t>sculpture</t>
        </is>
      </c>
      <c r="D568" s="2" t="inlineStr">
        <is>
          <t>18e</t>
        </is>
      </c>
      <c r="U568">
        <f>IF(ISNUMBER(SEARCH("fran",B568)),"France",IF(OR(ISNUMBER(SEARCH("italien",B568)),ISNUMBER(SEARCH("espagn",B568)),ISNUMBER(SEARCH("catalan",B568)),ISNUMBER(SEARCH("flamand",B568)),ISNUMBER(SEARCH("belge",B568)),ISNUMBER(SEARCH("hollandais",B568)),ISNUMBER(SEARCH("néerlandais",B568)),ISNUMBER(SEARCH("allemand",B568)),ISNUMBER(SEARCH("autrichien",B568)),ISNUMBER(SEARCH("suisse",B568)),ISNUMBER(SEARCH("anglais",B568)),ISNUMBER(SEARCH("britannique",B568)),ISNUMBER(SEARCH("écossais",B568)),ISNUMBER(SEARCH("irlandais",B568)),ISNUMBER(SEARCH("russe",B568)),ISNUMBER(SEARCH("portugais",B568)),ISNUMBER(SEARCH("danois",B568)),ISNUMBER(SEARCH("norvégien",B568)),ISNUMBER(SEARCH("suédois",B568)),ISNUMBER(SEARCH("finlandais",B568)),ISNUMBER(SEARCH("polonais",B568)),ISNUMBER(SEARCH("tchèque",B568)),ISNUMBER(SEARCH("hongrois",B568)),ISNUMBER(SEARCH("grec",B568)),ISNUMBER(SEARCH("byzantin",B568)),ISNUMBER(SEARCH("croate",B568)),ISNUMBER(SEARCH("ukrainien",B568)),ISNUMBER(SEARCH("bulgare",B568)),ISNUMBER(SEARCH("biélorusse",B568)),ISNUMBER(SEARCH("maltais",B568))),"Autres pays d'Europe",IF(OR(ISNUMBER(SEARCH("américain",B568)),ISNUMBER(SEARCH("mexicain",B568)),ISNUMBER(SEARCH("canadien",B568)),ISNUMBER(SEARCH("brésilien",B568)),ISNUMBER(SEARCH("argentin",B568))),"Amérique",IF(OR(ISNUMBER(SEARCH("chinois",B568)),ISNUMBER(SEARCH("japonais",B568)),ISNUMBER(SEARCH("coréen",B568)),ISNUMBER(SEARCH("indien",B568)),ISNUMBER(SEARCH("persan",B568)),ISNUMBER(SEARCH("iranien",B568))),"Asie","(non classée)"))))</f>
        <v/>
      </c>
    </row>
    <row r="569">
      <c r="A569" s="2" t="inlineStr">
        <is>
          <t>MICHELANGELO NACCHERINO</t>
        </is>
      </c>
      <c r="B569" s="2" t="inlineStr">
        <is>
          <t>italienne</t>
        </is>
      </c>
      <c r="C569" s="2" t="inlineStr">
        <is>
          <t>sculpture</t>
        </is>
      </c>
      <c r="D569" s="2" t="inlineStr">
        <is>
          <t>16e</t>
        </is>
      </c>
      <c r="U569">
        <f>IF(ISNUMBER(SEARCH("fran",B569)),"France",IF(OR(ISNUMBER(SEARCH("italien",B569)),ISNUMBER(SEARCH("espagn",B569)),ISNUMBER(SEARCH("catalan",B569)),ISNUMBER(SEARCH("flamand",B569)),ISNUMBER(SEARCH("belge",B569)),ISNUMBER(SEARCH("hollandais",B569)),ISNUMBER(SEARCH("néerlandais",B569)),ISNUMBER(SEARCH("allemand",B569)),ISNUMBER(SEARCH("autrichien",B569)),ISNUMBER(SEARCH("suisse",B569)),ISNUMBER(SEARCH("anglais",B569)),ISNUMBER(SEARCH("britannique",B569)),ISNUMBER(SEARCH("écossais",B569)),ISNUMBER(SEARCH("irlandais",B569)),ISNUMBER(SEARCH("russe",B569)),ISNUMBER(SEARCH("portugais",B569)),ISNUMBER(SEARCH("danois",B569)),ISNUMBER(SEARCH("norvégien",B569)),ISNUMBER(SEARCH("suédois",B569)),ISNUMBER(SEARCH("finlandais",B569)),ISNUMBER(SEARCH("polonais",B569)),ISNUMBER(SEARCH("tchèque",B569)),ISNUMBER(SEARCH("hongrois",B569)),ISNUMBER(SEARCH("grec",B569)),ISNUMBER(SEARCH("byzantin",B569)),ISNUMBER(SEARCH("croate",B569)),ISNUMBER(SEARCH("ukrainien",B569)),ISNUMBER(SEARCH("bulgare",B569)),ISNUMBER(SEARCH("biélorusse",B569)),ISNUMBER(SEARCH("maltais",B569))),"Autres pays d'Europe",IF(OR(ISNUMBER(SEARCH("américain",B569)),ISNUMBER(SEARCH("mexicain",B569)),ISNUMBER(SEARCH("canadien",B569)),ISNUMBER(SEARCH("brésilien",B569)),ISNUMBER(SEARCH("argentin",B569))),"Amérique",IF(OR(ISNUMBER(SEARCH("chinois",B569)),ISNUMBER(SEARCH("japonais",B569)),ISNUMBER(SEARCH("coréen",B569)),ISNUMBER(SEARCH("indien",B569)),ISNUMBER(SEARCH("persan",B569)),ISNUMBER(SEARCH("iranien",B569))),"Asie","(non classée)"))))</f>
        <v/>
      </c>
    </row>
    <row r="570">
      <c r="A570" s="2" t="inlineStr">
        <is>
          <t>MIKHAÊL VROUBEL</t>
        </is>
      </c>
      <c r="B570" s="2" t="inlineStr">
        <is>
          <t>russe</t>
        </is>
      </c>
      <c r="C570" s="2" t="inlineStr">
        <is>
          <t>peinture</t>
        </is>
      </c>
      <c r="D570" s="2" t="inlineStr">
        <is>
          <t>19e</t>
        </is>
      </c>
      <c r="U570">
        <f>IF(ISNUMBER(SEARCH("fran",B570)),"France",IF(OR(ISNUMBER(SEARCH("italien",B570)),ISNUMBER(SEARCH("espagn",B570)),ISNUMBER(SEARCH("catalan",B570)),ISNUMBER(SEARCH("flamand",B570)),ISNUMBER(SEARCH("belge",B570)),ISNUMBER(SEARCH("hollandais",B570)),ISNUMBER(SEARCH("néerlandais",B570)),ISNUMBER(SEARCH("allemand",B570)),ISNUMBER(SEARCH("autrichien",B570)),ISNUMBER(SEARCH("suisse",B570)),ISNUMBER(SEARCH("anglais",B570)),ISNUMBER(SEARCH("britannique",B570)),ISNUMBER(SEARCH("écossais",B570)),ISNUMBER(SEARCH("irlandais",B570)),ISNUMBER(SEARCH("russe",B570)),ISNUMBER(SEARCH("portugais",B570)),ISNUMBER(SEARCH("danois",B570)),ISNUMBER(SEARCH("norvégien",B570)),ISNUMBER(SEARCH("suédois",B570)),ISNUMBER(SEARCH("finlandais",B570)),ISNUMBER(SEARCH("polonais",B570)),ISNUMBER(SEARCH("tchèque",B570)),ISNUMBER(SEARCH("hongrois",B570)),ISNUMBER(SEARCH("grec",B570)),ISNUMBER(SEARCH("byzantin",B570)),ISNUMBER(SEARCH("croate",B570)),ISNUMBER(SEARCH("ukrainien",B570)),ISNUMBER(SEARCH("bulgare",B570)),ISNUMBER(SEARCH("biélorusse",B570)),ISNUMBER(SEARCH("maltais",B570))),"Autres pays d'Europe",IF(OR(ISNUMBER(SEARCH("américain",B570)),ISNUMBER(SEARCH("mexicain",B570)),ISNUMBER(SEARCH("canadien",B570)),ISNUMBER(SEARCH("brésilien",B570)),ISNUMBER(SEARCH("argentin",B570))),"Amérique",IF(OR(ISNUMBER(SEARCH("chinois",B570)),ISNUMBER(SEARCH("japonais",B570)),ISNUMBER(SEARCH("coréen",B570)),ISNUMBER(SEARCH("indien",B570)),ISNUMBER(SEARCH("persan",B570)),ISNUMBER(SEARCH("iranien",B570))),"Asie","(non classée)"))))</f>
        <v/>
      </c>
    </row>
    <row r="571">
      <c r="A571" s="2" t="inlineStr">
        <is>
          <t>MOÏSE KISLING</t>
        </is>
      </c>
      <c r="B571" s="2" t="inlineStr">
        <is>
          <t>polonaise</t>
        </is>
      </c>
      <c r="C571" s="2" t="inlineStr">
        <is>
          <t>peinture</t>
        </is>
      </c>
      <c r="D571" s="2" t="inlineStr">
        <is>
          <t>20e</t>
        </is>
      </c>
      <c r="U571">
        <f>IF(ISNUMBER(SEARCH("fran",B571)),"France",IF(OR(ISNUMBER(SEARCH("italien",B571)),ISNUMBER(SEARCH("espagn",B571)),ISNUMBER(SEARCH("catalan",B571)),ISNUMBER(SEARCH("flamand",B571)),ISNUMBER(SEARCH("belge",B571)),ISNUMBER(SEARCH("hollandais",B571)),ISNUMBER(SEARCH("néerlandais",B571)),ISNUMBER(SEARCH("allemand",B571)),ISNUMBER(SEARCH("autrichien",B571)),ISNUMBER(SEARCH("suisse",B571)),ISNUMBER(SEARCH("anglais",B571)),ISNUMBER(SEARCH("britannique",B571)),ISNUMBER(SEARCH("écossais",B571)),ISNUMBER(SEARCH("irlandais",B571)),ISNUMBER(SEARCH("russe",B571)),ISNUMBER(SEARCH("portugais",B571)),ISNUMBER(SEARCH("danois",B571)),ISNUMBER(SEARCH("norvégien",B571)),ISNUMBER(SEARCH("suédois",B571)),ISNUMBER(SEARCH("finlandais",B571)),ISNUMBER(SEARCH("polonais",B571)),ISNUMBER(SEARCH("tchèque",B571)),ISNUMBER(SEARCH("hongrois",B571)),ISNUMBER(SEARCH("grec",B571)),ISNUMBER(SEARCH("byzantin",B571)),ISNUMBER(SEARCH("croate",B571)),ISNUMBER(SEARCH("ukrainien",B571)),ISNUMBER(SEARCH("bulgare",B571)),ISNUMBER(SEARCH("biélorusse",B571)),ISNUMBER(SEARCH("maltais",B571))),"Autres pays d'Europe",IF(OR(ISNUMBER(SEARCH("américain",B571)),ISNUMBER(SEARCH("mexicain",B571)),ISNUMBER(SEARCH("canadien",B571)),ISNUMBER(SEARCH("brésilien",B571)),ISNUMBER(SEARCH("argentin",B571))),"Amérique",IF(OR(ISNUMBER(SEARCH("chinois",B571)),ISNUMBER(SEARCH("japonais",B571)),ISNUMBER(SEARCH("coréen",B571)),ISNUMBER(SEARCH("indien",B571)),ISNUMBER(SEARCH("persan",B571)),ISNUMBER(SEARCH("iranien",B571))),"Asie","(non classée)"))))</f>
        <v/>
      </c>
    </row>
    <row r="572">
      <c r="A572" s="2" t="inlineStr">
        <is>
          <t>NARDO DI CIONE</t>
        </is>
      </c>
      <c r="B572" s="2" t="inlineStr">
        <is>
          <t>italienne</t>
        </is>
      </c>
      <c r="C572" s="2" t="inlineStr">
        <is>
          <t>peinture</t>
        </is>
      </c>
      <c r="D572" s="2" t="inlineStr">
        <is>
          <t>14e</t>
        </is>
      </c>
      <c r="U572">
        <f>IF(ISNUMBER(SEARCH("fran",B572)),"France",IF(OR(ISNUMBER(SEARCH("italien",B572)),ISNUMBER(SEARCH("espagn",B572)),ISNUMBER(SEARCH("catalan",B572)),ISNUMBER(SEARCH("flamand",B572)),ISNUMBER(SEARCH("belge",B572)),ISNUMBER(SEARCH("hollandais",B572)),ISNUMBER(SEARCH("néerlandais",B572)),ISNUMBER(SEARCH("allemand",B572)),ISNUMBER(SEARCH("autrichien",B572)),ISNUMBER(SEARCH("suisse",B572)),ISNUMBER(SEARCH("anglais",B572)),ISNUMBER(SEARCH("britannique",B572)),ISNUMBER(SEARCH("écossais",B572)),ISNUMBER(SEARCH("irlandais",B572)),ISNUMBER(SEARCH("russe",B572)),ISNUMBER(SEARCH("portugais",B572)),ISNUMBER(SEARCH("danois",B572)),ISNUMBER(SEARCH("norvégien",B572)),ISNUMBER(SEARCH("suédois",B572)),ISNUMBER(SEARCH("finlandais",B572)),ISNUMBER(SEARCH("polonais",B572)),ISNUMBER(SEARCH("tchèque",B572)),ISNUMBER(SEARCH("hongrois",B572)),ISNUMBER(SEARCH("grec",B572)),ISNUMBER(SEARCH("byzantin",B572)),ISNUMBER(SEARCH("croate",B572)),ISNUMBER(SEARCH("ukrainien",B572)),ISNUMBER(SEARCH("bulgare",B572)),ISNUMBER(SEARCH("biélorusse",B572)),ISNUMBER(SEARCH("maltais",B572))),"Autres pays d'Europe",IF(OR(ISNUMBER(SEARCH("américain",B572)),ISNUMBER(SEARCH("mexicain",B572)),ISNUMBER(SEARCH("canadien",B572)),ISNUMBER(SEARCH("brésilien",B572)),ISNUMBER(SEARCH("argentin",B572))),"Amérique",IF(OR(ISNUMBER(SEARCH("chinois",B572)),ISNUMBER(SEARCH("japonais",B572)),ISNUMBER(SEARCH("coréen",B572)),ISNUMBER(SEARCH("indien",B572)),ISNUMBER(SEARCH("persan",B572)),ISNUMBER(SEARCH("iranien",B572))),"Asie","(non classée)"))))</f>
        <v/>
      </c>
    </row>
    <row r="573">
      <c r="A573" s="2" t="inlineStr">
        <is>
          <t>NAUM ARONSON</t>
        </is>
      </c>
      <c r="B573" s="2" t="inlineStr">
        <is>
          <t>russe</t>
        </is>
      </c>
      <c r="C573" s="2" t="inlineStr">
        <is>
          <t>sculpture</t>
        </is>
      </c>
      <c r="D573" s="2" t="inlineStr">
        <is>
          <t>20e</t>
        </is>
      </c>
      <c r="U573">
        <f>IF(ISNUMBER(SEARCH("fran",B573)),"France",IF(OR(ISNUMBER(SEARCH("italien",B573)),ISNUMBER(SEARCH("espagn",B573)),ISNUMBER(SEARCH("catalan",B573)),ISNUMBER(SEARCH("flamand",B573)),ISNUMBER(SEARCH("belge",B573)),ISNUMBER(SEARCH("hollandais",B573)),ISNUMBER(SEARCH("néerlandais",B573)),ISNUMBER(SEARCH("allemand",B573)),ISNUMBER(SEARCH("autrichien",B573)),ISNUMBER(SEARCH("suisse",B573)),ISNUMBER(SEARCH("anglais",B573)),ISNUMBER(SEARCH("britannique",B573)),ISNUMBER(SEARCH("écossais",B573)),ISNUMBER(SEARCH("irlandais",B573)),ISNUMBER(SEARCH("russe",B573)),ISNUMBER(SEARCH("portugais",B573)),ISNUMBER(SEARCH("danois",B573)),ISNUMBER(SEARCH("norvégien",B573)),ISNUMBER(SEARCH("suédois",B573)),ISNUMBER(SEARCH("finlandais",B573)),ISNUMBER(SEARCH("polonais",B573)),ISNUMBER(SEARCH("tchèque",B573)),ISNUMBER(SEARCH("hongrois",B573)),ISNUMBER(SEARCH("grec",B573)),ISNUMBER(SEARCH("byzantin",B573)),ISNUMBER(SEARCH("croate",B573)),ISNUMBER(SEARCH("ukrainien",B573)),ISNUMBER(SEARCH("bulgare",B573)),ISNUMBER(SEARCH("biélorusse",B573)),ISNUMBER(SEARCH("maltais",B573))),"Autres pays d'Europe",IF(OR(ISNUMBER(SEARCH("américain",B573)),ISNUMBER(SEARCH("mexicain",B573)),ISNUMBER(SEARCH("canadien",B573)),ISNUMBER(SEARCH("brésilien",B573)),ISNUMBER(SEARCH("argentin",B573))),"Amérique",IF(OR(ISNUMBER(SEARCH("chinois",B573)),ISNUMBER(SEARCH("japonais",B573)),ISNUMBER(SEARCH("coréen",B573)),ISNUMBER(SEARCH("indien",B573)),ISNUMBER(SEARCH("persan",B573)),ISNUMBER(SEARCH("iranien",B573))),"Asie","(non classée)"))))</f>
        <v/>
      </c>
    </row>
    <row r="574">
      <c r="A574" s="2" t="inlineStr">
        <is>
          <t>NI ZAN</t>
        </is>
      </c>
      <c r="B574" s="2" t="inlineStr">
        <is>
          <t>chinoise</t>
        </is>
      </c>
      <c r="C574" s="2" t="inlineStr">
        <is>
          <t>peinture</t>
        </is>
      </c>
      <c r="D574" s="2" t="inlineStr">
        <is>
          <t>14e</t>
        </is>
      </c>
      <c r="U574">
        <f>IF(ISNUMBER(SEARCH("fran",B574)),"France",IF(OR(ISNUMBER(SEARCH("italien",B574)),ISNUMBER(SEARCH("espagn",B574)),ISNUMBER(SEARCH("catalan",B574)),ISNUMBER(SEARCH("flamand",B574)),ISNUMBER(SEARCH("belge",B574)),ISNUMBER(SEARCH("hollandais",B574)),ISNUMBER(SEARCH("néerlandais",B574)),ISNUMBER(SEARCH("allemand",B574)),ISNUMBER(SEARCH("autrichien",B574)),ISNUMBER(SEARCH("suisse",B574)),ISNUMBER(SEARCH("anglais",B574)),ISNUMBER(SEARCH("britannique",B574)),ISNUMBER(SEARCH("écossais",B574)),ISNUMBER(SEARCH("irlandais",B574)),ISNUMBER(SEARCH("russe",B574)),ISNUMBER(SEARCH("portugais",B574)),ISNUMBER(SEARCH("danois",B574)),ISNUMBER(SEARCH("norvégien",B574)),ISNUMBER(SEARCH("suédois",B574)),ISNUMBER(SEARCH("finlandais",B574)),ISNUMBER(SEARCH("polonais",B574)),ISNUMBER(SEARCH("tchèque",B574)),ISNUMBER(SEARCH("hongrois",B574)),ISNUMBER(SEARCH("grec",B574)),ISNUMBER(SEARCH("byzantin",B574)),ISNUMBER(SEARCH("croate",B574)),ISNUMBER(SEARCH("ukrainien",B574)),ISNUMBER(SEARCH("bulgare",B574)),ISNUMBER(SEARCH("biélorusse",B574)),ISNUMBER(SEARCH("maltais",B574))),"Autres pays d'Europe",IF(OR(ISNUMBER(SEARCH("américain",B574)),ISNUMBER(SEARCH("mexicain",B574)),ISNUMBER(SEARCH("canadien",B574)),ISNUMBER(SEARCH("brésilien",B574)),ISNUMBER(SEARCH("argentin",B574))),"Amérique",IF(OR(ISNUMBER(SEARCH("chinois",B574)),ISNUMBER(SEARCH("japonais",B574)),ISNUMBER(SEARCH("coréen",B574)),ISNUMBER(SEARCH("indien",B574)),ISNUMBER(SEARCH("persan",B574)),ISNUMBER(SEARCH("iranien",B574))),"Asie","(non classée)"))))</f>
        <v/>
      </c>
    </row>
    <row r="575">
      <c r="A575" s="2" t="inlineStr">
        <is>
          <t>NICCOLÒ TRIBOLO</t>
        </is>
      </c>
      <c r="B575" s="2" t="inlineStr">
        <is>
          <t>italienne</t>
        </is>
      </c>
      <c r="C575" s="2" t="inlineStr">
        <is>
          <t>sculpture</t>
        </is>
      </c>
      <c r="D575" s="2" t="inlineStr">
        <is>
          <t>16e</t>
        </is>
      </c>
      <c r="U575">
        <f>IF(ISNUMBER(SEARCH("fran",B575)),"France",IF(OR(ISNUMBER(SEARCH("italien",B575)),ISNUMBER(SEARCH("espagn",B575)),ISNUMBER(SEARCH("catalan",B575)),ISNUMBER(SEARCH("flamand",B575)),ISNUMBER(SEARCH("belge",B575)),ISNUMBER(SEARCH("hollandais",B575)),ISNUMBER(SEARCH("néerlandais",B575)),ISNUMBER(SEARCH("allemand",B575)),ISNUMBER(SEARCH("autrichien",B575)),ISNUMBER(SEARCH("suisse",B575)),ISNUMBER(SEARCH("anglais",B575)),ISNUMBER(SEARCH("britannique",B575)),ISNUMBER(SEARCH("écossais",B575)),ISNUMBER(SEARCH("irlandais",B575)),ISNUMBER(SEARCH("russe",B575)),ISNUMBER(SEARCH("portugais",B575)),ISNUMBER(SEARCH("danois",B575)),ISNUMBER(SEARCH("norvégien",B575)),ISNUMBER(SEARCH("suédois",B575)),ISNUMBER(SEARCH("finlandais",B575)),ISNUMBER(SEARCH("polonais",B575)),ISNUMBER(SEARCH("tchèque",B575)),ISNUMBER(SEARCH("hongrois",B575)),ISNUMBER(SEARCH("grec",B575)),ISNUMBER(SEARCH("byzantin",B575)),ISNUMBER(SEARCH("croate",B575)),ISNUMBER(SEARCH("ukrainien",B575)),ISNUMBER(SEARCH("bulgare",B575)),ISNUMBER(SEARCH("biélorusse",B575)),ISNUMBER(SEARCH("maltais",B575))),"Autres pays d'Europe",IF(OR(ISNUMBER(SEARCH("américain",B575)),ISNUMBER(SEARCH("mexicain",B575)),ISNUMBER(SEARCH("canadien",B575)),ISNUMBER(SEARCH("brésilien",B575)),ISNUMBER(SEARCH("argentin",B575))),"Amérique",IF(OR(ISNUMBER(SEARCH("chinois",B575)),ISNUMBER(SEARCH("japonais",B575)),ISNUMBER(SEARCH("coréen",B575)),ISNUMBER(SEARCH("indien",B575)),ISNUMBER(SEARCH("persan",B575)),ISNUMBER(SEARCH("iranien",B575))),"Asie","(non classée)"))))</f>
        <v/>
      </c>
    </row>
    <row r="576">
      <c r="A576" s="2" t="inlineStr">
        <is>
          <t>NICCOLÒ DELL'ARCA</t>
        </is>
      </c>
      <c r="B576" s="2" t="inlineStr">
        <is>
          <t>italienne</t>
        </is>
      </c>
      <c r="C576" s="2" t="inlineStr">
        <is>
          <t>sculpture</t>
        </is>
      </c>
      <c r="D576" s="2" t="inlineStr">
        <is>
          <t>15e</t>
        </is>
      </c>
      <c r="U576">
        <f>IF(ISNUMBER(SEARCH("fran",B576)),"France",IF(OR(ISNUMBER(SEARCH("italien",B576)),ISNUMBER(SEARCH("espagn",B576)),ISNUMBER(SEARCH("catalan",B576)),ISNUMBER(SEARCH("flamand",B576)),ISNUMBER(SEARCH("belge",B576)),ISNUMBER(SEARCH("hollandais",B576)),ISNUMBER(SEARCH("néerlandais",B576)),ISNUMBER(SEARCH("allemand",B576)),ISNUMBER(SEARCH("autrichien",B576)),ISNUMBER(SEARCH("suisse",B576)),ISNUMBER(SEARCH("anglais",B576)),ISNUMBER(SEARCH("britannique",B576)),ISNUMBER(SEARCH("écossais",B576)),ISNUMBER(SEARCH("irlandais",B576)),ISNUMBER(SEARCH("russe",B576)),ISNUMBER(SEARCH("portugais",B576)),ISNUMBER(SEARCH("danois",B576)),ISNUMBER(SEARCH("norvégien",B576)),ISNUMBER(SEARCH("suédois",B576)),ISNUMBER(SEARCH("finlandais",B576)),ISNUMBER(SEARCH("polonais",B576)),ISNUMBER(SEARCH("tchèque",B576)),ISNUMBER(SEARCH("hongrois",B576)),ISNUMBER(SEARCH("grec",B576)),ISNUMBER(SEARCH("byzantin",B576)),ISNUMBER(SEARCH("croate",B576)),ISNUMBER(SEARCH("ukrainien",B576)),ISNUMBER(SEARCH("bulgare",B576)),ISNUMBER(SEARCH("biélorusse",B576)),ISNUMBER(SEARCH("maltais",B576))),"Autres pays d'Europe",IF(OR(ISNUMBER(SEARCH("américain",B576)),ISNUMBER(SEARCH("mexicain",B576)),ISNUMBER(SEARCH("canadien",B576)),ISNUMBER(SEARCH("brésilien",B576)),ISNUMBER(SEARCH("argentin",B576))),"Amérique",IF(OR(ISNUMBER(SEARCH("chinois",B576)),ISNUMBER(SEARCH("japonais",B576)),ISNUMBER(SEARCH("coréen",B576)),ISNUMBER(SEARCH("indien",B576)),ISNUMBER(SEARCH("persan",B576)),ISNUMBER(SEARCH("iranien",B576))),"Asie","(non classée)"))))</f>
        <v/>
      </c>
    </row>
    <row r="577">
      <c r="A577" s="2" t="inlineStr">
        <is>
          <t>NICCOLÒ DI PIETRO GERINI</t>
        </is>
      </c>
      <c r="B577" s="2" t="inlineStr">
        <is>
          <t>italienne</t>
        </is>
      </c>
      <c r="C577" s="2" t="inlineStr">
        <is>
          <t>peinture</t>
        </is>
      </c>
      <c r="D577" s="2" t="inlineStr">
        <is>
          <t>14e</t>
        </is>
      </c>
      <c r="U577">
        <f>IF(ISNUMBER(SEARCH("fran",B577)),"France",IF(OR(ISNUMBER(SEARCH("italien",B577)),ISNUMBER(SEARCH("espagn",B577)),ISNUMBER(SEARCH("catalan",B577)),ISNUMBER(SEARCH("flamand",B577)),ISNUMBER(SEARCH("belge",B577)),ISNUMBER(SEARCH("hollandais",B577)),ISNUMBER(SEARCH("néerlandais",B577)),ISNUMBER(SEARCH("allemand",B577)),ISNUMBER(SEARCH("autrichien",B577)),ISNUMBER(SEARCH("suisse",B577)),ISNUMBER(SEARCH("anglais",B577)),ISNUMBER(SEARCH("britannique",B577)),ISNUMBER(SEARCH("écossais",B577)),ISNUMBER(SEARCH("irlandais",B577)),ISNUMBER(SEARCH("russe",B577)),ISNUMBER(SEARCH("portugais",B577)),ISNUMBER(SEARCH("danois",B577)),ISNUMBER(SEARCH("norvégien",B577)),ISNUMBER(SEARCH("suédois",B577)),ISNUMBER(SEARCH("finlandais",B577)),ISNUMBER(SEARCH("polonais",B577)),ISNUMBER(SEARCH("tchèque",B577)),ISNUMBER(SEARCH("hongrois",B577)),ISNUMBER(SEARCH("grec",B577)),ISNUMBER(SEARCH("byzantin",B577)),ISNUMBER(SEARCH("croate",B577)),ISNUMBER(SEARCH("ukrainien",B577)),ISNUMBER(SEARCH("bulgare",B577)),ISNUMBER(SEARCH("biélorusse",B577)),ISNUMBER(SEARCH("maltais",B577))),"Autres pays d'Europe",IF(OR(ISNUMBER(SEARCH("américain",B577)),ISNUMBER(SEARCH("mexicain",B577)),ISNUMBER(SEARCH("canadien",B577)),ISNUMBER(SEARCH("brésilien",B577)),ISNUMBER(SEARCH("argentin",B577))),"Amérique",IF(OR(ISNUMBER(SEARCH("chinois",B577)),ISNUMBER(SEARCH("japonais",B577)),ISNUMBER(SEARCH("coréen",B577)),ISNUMBER(SEARCH("indien",B577)),ISNUMBER(SEARCH("persan",B577)),ISNUMBER(SEARCH("iranien",B577))),"Asie","(non classée)"))))</f>
        <v/>
      </c>
    </row>
    <row r="578">
      <c r="A578" s="2" t="inlineStr">
        <is>
          <t>NICHOLAS HILLIARD</t>
        </is>
      </c>
      <c r="B578" s="2" t="inlineStr">
        <is>
          <t>anglaise (Royaume-Uni)</t>
        </is>
      </c>
      <c r="C578" s="2" t="inlineStr">
        <is>
          <t>peinture</t>
        </is>
      </c>
      <c r="D578" s="2" t="inlineStr">
        <is>
          <t>16e</t>
        </is>
      </c>
      <c r="U578">
        <f>IF(ISNUMBER(SEARCH("fran",B578)),"France",IF(OR(ISNUMBER(SEARCH("italien",B578)),ISNUMBER(SEARCH("espagn",B578)),ISNUMBER(SEARCH("catalan",B578)),ISNUMBER(SEARCH("flamand",B578)),ISNUMBER(SEARCH("belge",B578)),ISNUMBER(SEARCH("hollandais",B578)),ISNUMBER(SEARCH("néerlandais",B578)),ISNUMBER(SEARCH("allemand",B578)),ISNUMBER(SEARCH("autrichien",B578)),ISNUMBER(SEARCH("suisse",B578)),ISNUMBER(SEARCH("anglais",B578)),ISNUMBER(SEARCH("britannique",B578)),ISNUMBER(SEARCH("écossais",B578)),ISNUMBER(SEARCH("irlandais",B578)),ISNUMBER(SEARCH("russe",B578)),ISNUMBER(SEARCH("portugais",B578)),ISNUMBER(SEARCH("danois",B578)),ISNUMBER(SEARCH("norvégien",B578)),ISNUMBER(SEARCH("suédois",B578)),ISNUMBER(SEARCH("finlandais",B578)),ISNUMBER(SEARCH("polonais",B578)),ISNUMBER(SEARCH("tchèque",B578)),ISNUMBER(SEARCH("hongrois",B578)),ISNUMBER(SEARCH("grec",B578)),ISNUMBER(SEARCH("byzantin",B578)),ISNUMBER(SEARCH("croate",B578)),ISNUMBER(SEARCH("ukrainien",B578)),ISNUMBER(SEARCH("bulgare",B578)),ISNUMBER(SEARCH("biélorusse",B578)),ISNUMBER(SEARCH("maltais",B578))),"Autres pays d'Europe",IF(OR(ISNUMBER(SEARCH("américain",B578)),ISNUMBER(SEARCH("mexicain",B578)),ISNUMBER(SEARCH("canadien",B578)),ISNUMBER(SEARCH("brésilien",B578)),ISNUMBER(SEARCH("argentin",B578))),"Amérique",IF(OR(ISNUMBER(SEARCH("chinois",B578)),ISNUMBER(SEARCH("japonais",B578)),ISNUMBER(SEARCH("coréen",B578)),ISNUMBER(SEARCH("indien",B578)),ISNUMBER(SEARCH("persan",B578)),ISNUMBER(SEARCH("iranien",B578))),"Asie","(non classée)"))))</f>
        <v/>
      </c>
    </row>
    <row r="579">
      <c r="A579" s="2" t="inlineStr">
        <is>
          <t>NICHOLAS STONE</t>
        </is>
      </c>
      <c r="B579" s="2" t="inlineStr">
        <is>
          <t>anglaise (Royaume-Uni)</t>
        </is>
      </c>
      <c r="C579" s="2" t="inlineStr">
        <is>
          <t>sculpture</t>
        </is>
      </c>
      <c r="D579" s="2" t="inlineStr">
        <is>
          <t>17e</t>
        </is>
      </c>
      <c r="U579">
        <f>IF(ISNUMBER(SEARCH("fran",B579)),"France",IF(OR(ISNUMBER(SEARCH("italien",B579)),ISNUMBER(SEARCH("espagn",B579)),ISNUMBER(SEARCH("catalan",B579)),ISNUMBER(SEARCH("flamand",B579)),ISNUMBER(SEARCH("belge",B579)),ISNUMBER(SEARCH("hollandais",B579)),ISNUMBER(SEARCH("néerlandais",B579)),ISNUMBER(SEARCH("allemand",B579)),ISNUMBER(SEARCH("autrichien",B579)),ISNUMBER(SEARCH("suisse",B579)),ISNUMBER(SEARCH("anglais",B579)),ISNUMBER(SEARCH("britannique",B579)),ISNUMBER(SEARCH("écossais",B579)),ISNUMBER(SEARCH("irlandais",B579)),ISNUMBER(SEARCH("russe",B579)),ISNUMBER(SEARCH("portugais",B579)),ISNUMBER(SEARCH("danois",B579)),ISNUMBER(SEARCH("norvégien",B579)),ISNUMBER(SEARCH("suédois",B579)),ISNUMBER(SEARCH("finlandais",B579)),ISNUMBER(SEARCH("polonais",B579)),ISNUMBER(SEARCH("tchèque",B579)),ISNUMBER(SEARCH("hongrois",B579)),ISNUMBER(SEARCH("grec",B579)),ISNUMBER(SEARCH("byzantin",B579)),ISNUMBER(SEARCH("croate",B579)),ISNUMBER(SEARCH("ukrainien",B579)),ISNUMBER(SEARCH("bulgare",B579)),ISNUMBER(SEARCH("biélorusse",B579)),ISNUMBER(SEARCH("maltais",B579))),"Autres pays d'Europe",IF(OR(ISNUMBER(SEARCH("américain",B579)),ISNUMBER(SEARCH("mexicain",B579)),ISNUMBER(SEARCH("canadien",B579)),ISNUMBER(SEARCH("brésilien",B579)),ISNUMBER(SEARCH("argentin",B579))),"Amérique",IF(OR(ISNUMBER(SEARCH("chinois",B579)),ISNUMBER(SEARCH("japonais",B579)),ISNUMBER(SEARCH("coréen",B579)),ISNUMBER(SEARCH("indien",B579)),ISNUMBER(SEARCH("persan",B579)),ISNUMBER(SEARCH("iranien",B579))),"Asie","(non classée)"))))</f>
        <v/>
      </c>
    </row>
    <row r="580">
      <c r="A580" s="2" t="inlineStr">
        <is>
          <t>NICOLAES MAES</t>
        </is>
      </c>
      <c r="B580" s="2" t="inlineStr">
        <is>
          <t>hollandaise (Pays-Bas)</t>
        </is>
      </c>
      <c r="C580" s="2" t="inlineStr">
        <is>
          <t>peinture</t>
        </is>
      </c>
      <c r="D580" s="2" t="inlineStr">
        <is>
          <t>17e</t>
        </is>
      </c>
      <c r="U580">
        <f>IF(ISNUMBER(SEARCH("fran",B580)),"France",IF(OR(ISNUMBER(SEARCH("italien",B580)),ISNUMBER(SEARCH("espagn",B580)),ISNUMBER(SEARCH("catalan",B580)),ISNUMBER(SEARCH("flamand",B580)),ISNUMBER(SEARCH("belge",B580)),ISNUMBER(SEARCH("hollandais",B580)),ISNUMBER(SEARCH("néerlandais",B580)),ISNUMBER(SEARCH("allemand",B580)),ISNUMBER(SEARCH("autrichien",B580)),ISNUMBER(SEARCH("suisse",B580)),ISNUMBER(SEARCH("anglais",B580)),ISNUMBER(SEARCH("britannique",B580)),ISNUMBER(SEARCH("écossais",B580)),ISNUMBER(SEARCH("irlandais",B580)),ISNUMBER(SEARCH("russe",B580)),ISNUMBER(SEARCH("portugais",B580)),ISNUMBER(SEARCH("danois",B580)),ISNUMBER(SEARCH("norvégien",B580)),ISNUMBER(SEARCH("suédois",B580)),ISNUMBER(SEARCH("finlandais",B580)),ISNUMBER(SEARCH("polonais",B580)),ISNUMBER(SEARCH("tchèque",B580)),ISNUMBER(SEARCH("hongrois",B580)),ISNUMBER(SEARCH("grec",B580)),ISNUMBER(SEARCH("byzantin",B580)),ISNUMBER(SEARCH("croate",B580)),ISNUMBER(SEARCH("ukrainien",B580)),ISNUMBER(SEARCH("bulgare",B580)),ISNUMBER(SEARCH("biélorusse",B580)),ISNUMBER(SEARCH("maltais",B580))),"Autres pays d'Europe",IF(OR(ISNUMBER(SEARCH("américain",B580)),ISNUMBER(SEARCH("mexicain",B580)),ISNUMBER(SEARCH("canadien",B580)),ISNUMBER(SEARCH("brésilien",B580)),ISNUMBER(SEARCH("argentin",B580))),"Amérique",IF(OR(ISNUMBER(SEARCH("chinois",B580)),ISNUMBER(SEARCH("japonais",B580)),ISNUMBER(SEARCH("coréen",B580)),ISNUMBER(SEARCH("indien",B580)),ISNUMBER(SEARCH("persan",B580)),ISNUMBER(SEARCH("iranien",B580))),"Asie","(non classée)"))))</f>
        <v/>
      </c>
    </row>
    <row r="581">
      <c r="A581" s="2" t="inlineStr">
        <is>
          <t>NICOLAS BACHELIER</t>
        </is>
      </c>
      <c r="B581" s="2" t="inlineStr">
        <is>
          <t>française</t>
        </is>
      </c>
      <c r="C581" s="2" t="inlineStr">
        <is>
          <t>sculpture</t>
        </is>
      </c>
      <c r="D581" s="2" t="inlineStr">
        <is>
          <t>16e</t>
        </is>
      </c>
      <c r="U581">
        <f>IF(ISNUMBER(SEARCH("fran",B581)),"France",IF(OR(ISNUMBER(SEARCH("italien",B581)),ISNUMBER(SEARCH("espagn",B581)),ISNUMBER(SEARCH("catalan",B581)),ISNUMBER(SEARCH("flamand",B581)),ISNUMBER(SEARCH("belge",B581)),ISNUMBER(SEARCH("hollandais",B581)),ISNUMBER(SEARCH("néerlandais",B581)),ISNUMBER(SEARCH("allemand",B581)),ISNUMBER(SEARCH("autrichien",B581)),ISNUMBER(SEARCH("suisse",B581)),ISNUMBER(SEARCH("anglais",B581)),ISNUMBER(SEARCH("britannique",B581)),ISNUMBER(SEARCH("écossais",B581)),ISNUMBER(SEARCH("irlandais",B581)),ISNUMBER(SEARCH("russe",B581)),ISNUMBER(SEARCH("portugais",B581)),ISNUMBER(SEARCH("danois",B581)),ISNUMBER(SEARCH("norvégien",B581)),ISNUMBER(SEARCH("suédois",B581)),ISNUMBER(SEARCH("finlandais",B581)),ISNUMBER(SEARCH("polonais",B581)),ISNUMBER(SEARCH("tchèque",B581)),ISNUMBER(SEARCH("hongrois",B581)),ISNUMBER(SEARCH("grec",B581)),ISNUMBER(SEARCH("byzantin",B581)),ISNUMBER(SEARCH("croate",B581)),ISNUMBER(SEARCH("ukrainien",B581)),ISNUMBER(SEARCH("bulgare",B581)),ISNUMBER(SEARCH("biélorusse",B581)),ISNUMBER(SEARCH("maltais",B581))),"Autres pays d'Europe",IF(OR(ISNUMBER(SEARCH("américain",B581)),ISNUMBER(SEARCH("mexicain",B581)),ISNUMBER(SEARCH("canadien",B581)),ISNUMBER(SEARCH("brésilien",B581)),ISNUMBER(SEARCH("argentin",B581))),"Amérique",IF(OR(ISNUMBER(SEARCH("chinois",B581)),ISNUMBER(SEARCH("japonais",B581)),ISNUMBER(SEARCH("coréen",B581)),ISNUMBER(SEARCH("indien",B581)),ISNUMBER(SEARCH("persan",B581)),ISNUMBER(SEARCH("iranien",B581))),"Asie","(non classée)"))))</f>
        <v/>
      </c>
    </row>
    <row r="582">
      <c r="A582" s="2" t="inlineStr">
        <is>
          <t>NICOLAS COUSTOU</t>
        </is>
      </c>
      <c r="B582" s="2" t="inlineStr">
        <is>
          <t>française</t>
        </is>
      </c>
      <c r="C582" s="2" t="inlineStr">
        <is>
          <t>sculpture</t>
        </is>
      </c>
      <c r="D582" s="2" t="inlineStr">
        <is>
          <t>17e, 18e</t>
        </is>
      </c>
      <c r="U582">
        <f>IF(ISNUMBER(SEARCH("fran",B582)),"France",IF(OR(ISNUMBER(SEARCH("italien",B582)),ISNUMBER(SEARCH("espagn",B582)),ISNUMBER(SEARCH("catalan",B582)),ISNUMBER(SEARCH("flamand",B582)),ISNUMBER(SEARCH("belge",B582)),ISNUMBER(SEARCH("hollandais",B582)),ISNUMBER(SEARCH("néerlandais",B582)),ISNUMBER(SEARCH("allemand",B582)),ISNUMBER(SEARCH("autrichien",B582)),ISNUMBER(SEARCH("suisse",B582)),ISNUMBER(SEARCH("anglais",B582)),ISNUMBER(SEARCH("britannique",B582)),ISNUMBER(SEARCH("écossais",B582)),ISNUMBER(SEARCH("irlandais",B582)),ISNUMBER(SEARCH("russe",B582)),ISNUMBER(SEARCH("portugais",B582)),ISNUMBER(SEARCH("danois",B582)),ISNUMBER(SEARCH("norvégien",B582)),ISNUMBER(SEARCH("suédois",B582)),ISNUMBER(SEARCH("finlandais",B582)),ISNUMBER(SEARCH("polonais",B582)),ISNUMBER(SEARCH("tchèque",B582)),ISNUMBER(SEARCH("hongrois",B582)),ISNUMBER(SEARCH("grec",B582)),ISNUMBER(SEARCH("byzantin",B582)),ISNUMBER(SEARCH("croate",B582)),ISNUMBER(SEARCH("ukrainien",B582)),ISNUMBER(SEARCH("bulgare",B582)),ISNUMBER(SEARCH("biélorusse",B582)),ISNUMBER(SEARCH("maltais",B582))),"Autres pays d'Europe",IF(OR(ISNUMBER(SEARCH("américain",B582)),ISNUMBER(SEARCH("mexicain",B582)),ISNUMBER(SEARCH("canadien",B582)),ISNUMBER(SEARCH("brésilien",B582)),ISNUMBER(SEARCH("argentin",B582))),"Amérique",IF(OR(ISNUMBER(SEARCH("chinois",B582)),ISNUMBER(SEARCH("japonais",B582)),ISNUMBER(SEARCH("coréen",B582)),ISNUMBER(SEARCH("indien",B582)),ISNUMBER(SEARCH("persan",B582)),ISNUMBER(SEARCH("iranien",B582))),"Asie","(non classée)"))))</f>
        <v/>
      </c>
    </row>
    <row r="583">
      <c r="A583" s="2" t="inlineStr">
        <is>
          <t>NICOLAS GERHAERT VAN LEYDEN</t>
        </is>
      </c>
      <c r="B583" s="2" t="inlineStr">
        <is>
          <t>hollandaise (Pays-Bas)</t>
        </is>
      </c>
      <c r="C583" s="2" t="inlineStr">
        <is>
          <t>sculpture</t>
        </is>
      </c>
      <c r="D583" s="2" t="inlineStr">
        <is>
          <t>15e</t>
        </is>
      </c>
      <c r="U583">
        <f>IF(ISNUMBER(SEARCH("fran",B583)),"France",IF(OR(ISNUMBER(SEARCH("italien",B583)),ISNUMBER(SEARCH("espagn",B583)),ISNUMBER(SEARCH("catalan",B583)),ISNUMBER(SEARCH("flamand",B583)),ISNUMBER(SEARCH("belge",B583)),ISNUMBER(SEARCH("hollandais",B583)),ISNUMBER(SEARCH("néerlandais",B583)),ISNUMBER(SEARCH("allemand",B583)),ISNUMBER(SEARCH("autrichien",B583)),ISNUMBER(SEARCH("suisse",B583)),ISNUMBER(SEARCH("anglais",B583)),ISNUMBER(SEARCH("britannique",B583)),ISNUMBER(SEARCH("écossais",B583)),ISNUMBER(SEARCH("irlandais",B583)),ISNUMBER(SEARCH("russe",B583)),ISNUMBER(SEARCH("portugais",B583)),ISNUMBER(SEARCH("danois",B583)),ISNUMBER(SEARCH("norvégien",B583)),ISNUMBER(SEARCH("suédois",B583)),ISNUMBER(SEARCH("finlandais",B583)),ISNUMBER(SEARCH("polonais",B583)),ISNUMBER(SEARCH("tchèque",B583)),ISNUMBER(SEARCH("hongrois",B583)),ISNUMBER(SEARCH("grec",B583)),ISNUMBER(SEARCH("byzantin",B583)),ISNUMBER(SEARCH("croate",B583)),ISNUMBER(SEARCH("ukrainien",B583)),ISNUMBER(SEARCH("bulgare",B583)),ISNUMBER(SEARCH("biélorusse",B583)),ISNUMBER(SEARCH("maltais",B583))),"Autres pays d'Europe",IF(OR(ISNUMBER(SEARCH("américain",B583)),ISNUMBER(SEARCH("mexicain",B583)),ISNUMBER(SEARCH("canadien",B583)),ISNUMBER(SEARCH("brésilien",B583)),ISNUMBER(SEARCH("argentin",B583))),"Amérique",IF(OR(ISNUMBER(SEARCH("chinois",B583)),ISNUMBER(SEARCH("japonais",B583)),ISNUMBER(SEARCH("coréen",B583)),ISNUMBER(SEARCH("indien",B583)),ISNUMBER(SEARCH("persan",B583)),ISNUMBER(SEARCH("iranien",B583))),"Asie","(non classée)"))))</f>
        <v/>
      </c>
    </row>
    <row r="584">
      <c r="A584" s="2" t="inlineStr">
        <is>
          <t>NICOLAS LANCRET</t>
        </is>
      </c>
      <c r="B584" s="2" t="inlineStr">
        <is>
          <t>française</t>
        </is>
      </c>
      <c r="C584" s="2" t="inlineStr">
        <is>
          <t>peinture</t>
        </is>
      </c>
      <c r="D584" s="2" t="inlineStr">
        <is>
          <t>18e</t>
        </is>
      </c>
      <c r="U584">
        <f>IF(ISNUMBER(SEARCH("fran",B584)),"France",IF(OR(ISNUMBER(SEARCH("italien",B584)),ISNUMBER(SEARCH("espagn",B584)),ISNUMBER(SEARCH("catalan",B584)),ISNUMBER(SEARCH("flamand",B584)),ISNUMBER(SEARCH("belge",B584)),ISNUMBER(SEARCH("hollandais",B584)),ISNUMBER(SEARCH("néerlandais",B584)),ISNUMBER(SEARCH("allemand",B584)),ISNUMBER(SEARCH("autrichien",B584)),ISNUMBER(SEARCH("suisse",B584)),ISNUMBER(SEARCH("anglais",B584)),ISNUMBER(SEARCH("britannique",B584)),ISNUMBER(SEARCH("écossais",B584)),ISNUMBER(SEARCH("irlandais",B584)),ISNUMBER(SEARCH("russe",B584)),ISNUMBER(SEARCH("portugais",B584)),ISNUMBER(SEARCH("danois",B584)),ISNUMBER(SEARCH("norvégien",B584)),ISNUMBER(SEARCH("suédois",B584)),ISNUMBER(SEARCH("finlandais",B584)),ISNUMBER(SEARCH("polonais",B584)),ISNUMBER(SEARCH("tchèque",B584)),ISNUMBER(SEARCH("hongrois",B584)),ISNUMBER(SEARCH("grec",B584)),ISNUMBER(SEARCH("byzantin",B584)),ISNUMBER(SEARCH("croate",B584)),ISNUMBER(SEARCH("ukrainien",B584)),ISNUMBER(SEARCH("bulgare",B584)),ISNUMBER(SEARCH("biélorusse",B584)),ISNUMBER(SEARCH("maltais",B584))),"Autres pays d'Europe",IF(OR(ISNUMBER(SEARCH("américain",B584)),ISNUMBER(SEARCH("mexicain",B584)),ISNUMBER(SEARCH("canadien",B584)),ISNUMBER(SEARCH("brésilien",B584)),ISNUMBER(SEARCH("argentin",B584))),"Amérique",IF(OR(ISNUMBER(SEARCH("chinois",B584)),ISNUMBER(SEARCH("japonais",B584)),ISNUMBER(SEARCH("coréen",B584)),ISNUMBER(SEARCH("indien",B584)),ISNUMBER(SEARCH("persan",B584)),ISNUMBER(SEARCH("iranien",B584))),"Asie","(non classée)"))))</f>
        <v/>
      </c>
    </row>
    <row r="585">
      <c r="A585" s="2" t="inlineStr">
        <is>
          <t>NICOLAS POUSSIN</t>
        </is>
      </c>
      <c r="B585" s="2" t="inlineStr">
        <is>
          <t>française</t>
        </is>
      </c>
      <c r="C585" s="2" t="inlineStr">
        <is>
          <t>peinture</t>
        </is>
      </c>
      <c r="D585" s="2" t="inlineStr">
        <is>
          <t>17e</t>
        </is>
      </c>
      <c r="U585">
        <f>IF(ISNUMBER(SEARCH("fran",B585)),"France",IF(OR(ISNUMBER(SEARCH("italien",B585)),ISNUMBER(SEARCH("espagn",B585)),ISNUMBER(SEARCH("catalan",B585)),ISNUMBER(SEARCH("flamand",B585)),ISNUMBER(SEARCH("belge",B585)),ISNUMBER(SEARCH("hollandais",B585)),ISNUMBER(SEARCH("néerlandais",B585)),ISNUMBER(SEARCH("allemand",B585)),ISNUMBER(SEARCH("autrichien",B585)),ISNUMBER(SEARCH("suisse",B585)),ISNUMBER(SEARCH("anglais",B585)),ISNUMBER(SEARCH("britannique",B585)),ISNUMBER(SEARCH("écossais",B585)),ISNUMBER(SEARCH("irlandais",B585)),ISNUMBER(SEARCH("russe",B585)),ISNUMBER(SEARCH("portugais",B585)),ISNUMBER(SEARCH("danois",B585)),ISNUMBER(SEARCH("norvégien",B585)),ISNUMBER(SEARCH("suédois",B585)),ISNUMBER(SEARCH("finlandais",B585)),ISNUMBER(SEARCH("polonais",B585)),ISNUMBER(SEARCH("tchèque",B585)),ISNUMBER(SEARCH("hongrois",B585)),ISNUMBER(SEARCH("grec",B585)),ISNUMBER(SEARCH("byzantin",B585)),ISNUMBER(SEARCH("croate",B585)),ISNUMBER(SEARCH("ukrainien",B585)),ISNUMBER(SEARCH("bulgare",B585)),ISNUMBER(SEARCH("biélorusse",B585)),ISNUMBER(SEARCH("maltais",B585))),"Autres pays d'Europe",IF(OR(ISNUMBER(SEARCH("américain",B585)),ISNUMBER(SEARCH("mexicain",B585)),ISNUMBER(SEARCH("canadien",B585)),ISNUMBER(SEARCH("brésilien",B585)),ISNUMBER(SEARCH("argentin",B585))),"Amérique",IF(OR(ISNUMBER(SEARCH("chinois",B585)),ISNUMBER(SEARCH("japonais",B585)),ISNUMBER(SEARCH("coréen",B585)),ISNUMBER(SEARCH("indien",B585)),ISNUMBER(SEARCH("persan",B585)),ISNUMBER(SEARCH("iranien",B585))),"Asie","(non classée)"))))</f>
        <v/>
      </c>
    </row>
    <row r="586">
      <c r="A586" s="2" t="inlineStr">
        <is>
          <t>NICOLAS ROERICH</t>
        </is>
      </c>
      <c r="B586" s="2" t="inlineStr">
        <is>
          <t>russe</t>
        </is>
      </c>
      <c r="C586" s="2" t="inlineStr">
        <is>
          <t>peinture</t>
        </is>
      </c>
      <c r="D586" s="2" t="inlineStr">
        <is>
          <t>20e</t>
        </is>
      </c>
      <c r="U586">
        <f>IF(ISNUMBER(SEARCH("fran",B586)),"France",IF(OR(ISNUMBER(SEARCH("italien",B586)),ISNUMBER(SEARCH("espagn",B586)),ISNUMBER(SEARCH("catalan",B586)),ISNUMBER(SEARCH("flamand",B586)),ISNUMBER(SEARCH("belge",B586)),ISNUMBER(SEARCH("hollandais",B586)),ISNUMBER(SEARCH("néerlandais",B586)),ISNUMBER(SEARCH("allemand",B586)),ISNUMBER(SEARCH("autrichien",B586)),ISNUMBER(SEARCH("suisse",B586)),ISNUMBER(SEARCH("anglais",B586)),ISNUMBER(SEARCH("britannique",B586)),ISNUMBER(SEARCH("écossais",B586)),ISNUMBER(SEARCH("irlandais",B586)),ISNUMBER(SEARCH("russe",B586)),ISNUMBER(SEARCH("portugais",B586)),ISNUMBER(SEARCH("danois",B586)),ISNUMBER(SEARCH("norvégien",B586)),ISNUMBER(SEARCH("suédois",B586)),ISNUMBER(SEARCH("finlandais",B586)),ISNUMBER(SEARCH("polonais",B586)),ISNUMBER(SEARCH("tchèque",B586)),ISNUMBER(SEARCH("hongrois",B586)),ISNUMBER(SEARCH("grec",B586)),ISNUMBER(SEARCH("byzantin",B586)),ISNUMBER(SEARCH("croate",B586)),ISNUMBER(SEARCH("ukrainien",B586)),ISNUMBER(SEARCH("bulgare",B586)),ISNUMBER(SEARCH("biélorusse",B586)),ISNUMBER(SEARCH("maltais",B586))),"Autres pays d'Europe",IF(OR(ISNUMBER(SEARCH("américain",B586)),ISNUMBER(SEARCH("mexicain",B586)),ISNUMBER(SEARCH("canadien",B586)),ISNUMBER(SEARCH("brésilien",B586)),ISNUMBER(SEARCH("argentin",B586))),"Amérique",IF(OR(ISNUMBER(SEARCH("chinois",B586)),ISNUMBER(SEARCH("japonais",B586)),ISNUMBER(SEARCH("coréen",B586)),ISNUMBER(SEARCH("indien",B586)),ISNUMBER(SEARCH("persan",B586)),ISNUMBER(SEARCH("iranien",B586))),"Asie","(non classée)"))))</f>
        <v/>
      </c>
    </row>
    <row r="587">
      <c r="A587" s="2" t="inlineStr">
        <is>
          <t>NICOLAS DE LARGILLIÈRE</t>
        </is>
      </c>
      <c r="B587" s="2" t="inlineStr">
        <is>
          <t>française</t>
        </is>
      </c>
      <c r="C587" s="2" t="inlineStr">
        <is>
          <t>peinture</t>
        </is>
      </c>
      <c r="D587" s="2" t="inlineStr">
        <is>
          <t>18e</t>
        </is>
      </c>
      <c r="U587">
        <f>IF(ISNUMBER(SEARCH("fran",B587)),"France",IF(OR(ISNUMBER(SEARCH("italien",B587)),ISNUMBER(SEARCH("espagn",B587)),ISNUMBER(SEARCH("catalan",B587)),ISNUMBER(SEARCH("flamand",B587)),ISNUMBER(SEARCH("belge",B587)),ISNUMBER(SEARCH("hollandais",B587)),ISNUMBER(SEARCH("néerlandais",B587)),ISNUMBER(SEARCH("allemand",B587)),ISNUMBER(SEARCH("autrichien",B587)),ISNUMBER(SEARCH("suisse",B587)),ISNUMBER(SEARCH("anglais",B587)),ISNUMBER(SEARCH("britannique",B587)),ISNUMBER(SEARCH("écossais",B587)),ISNUMBER(SEARCH("irlandais",B587)),ISNUMBER(SEARCH("russe",B587)),ISNUMBER(SEARCH("portugais",B587)),ISNUMBER(SEARCH("danois",B587)),ISNUMBER(SEARCH("norvégien",B587)),ISNUMBER(SEARCH("suédois",B587)),ISNUMBER(SEARCH("finlandais",B587)),ISNUMBER(SEARCH("polonais",B587)),ISNUMBER(SEARCH("tchèque",B587)),ISNUMBER(SEARCH("hongrois",B587)),ISNUMBER(SEARCH("grec",B587)),ISNUMBER(SEARCH("byzantin",B587)),ISNUMBER(SEARCH("croate",B587)),ISNUMBER(SEARCH("ukrainien",B587)),ISNUMBER(SEARCH("bulgare",B587)),ISNUMBER(SEARCH("biélorusse",B587)),ISNUMBER(SEARCH("maltais",B587))),"Autres pays d'Europe",IF(OR(ISNUMBER(SEARCH("américain",B587)),ISNUMBER(SEARCH("mexicain",B587)),ISNUMBER(SEARCH("canadien",B587)),ISNUMBER(SEARCH("brésilien",B587)),ISNUMBER(SEARCH("argentin",B587))),"Amérique",IF(OR(ISNUMBER(SEARCH("chinois",B587)),ISNUMBER(SEARCH("japonais",B587)),ISNUMBER(SEARCH("coréen",B587)),ISNUMBER(SEARCH("indien",B587)),ISNUMBER(SEARCH("persan",B587)),ISNUMBER(SEARCH("iranien",B587))),"Asie","(non classée)"))))</f>
        <v/>
      </c>
    </row>
    <row r="588">
      <c r="A588" s="2" t="inlineStr">
        <is>
          <t>NICOLAS DE STAËL</t>
        </is>
      </c>
      <c r="B588" s="2" t="inlineStr">
        <is>
          <t>française</t>
        </is>
      </c>
      <c r="C588" s="2" t="inlineStr">
        <is>
          <t>peinture</t>
        </is>
      </c>
      <c r="D588" s="2" t="inlineStr">
        <is>
          <t>20e</t>
        </is>
      </c>
      <c r="U588">
        <f>IF(ISNUMBER(SEARCH("fran",B588)),"France",IF(OR(ISNUMBER(SEARCH("italien",B588)),ISNUMBER(SEARCH("espagn",B588)),ISNUMBER(SEARCH("catalan",B588)),ISNUMBER(SEARCH("flamand",B588)),ISNUMBER(SEARCH("belge",B588)),ISNUMBER(SEARCH("hollandais",B588)),ISNUMBER(SEARCH("néerlandais",B588)),ISNUMBER(SEARCH("allemand",B588)),ISNUMBER(SEARCH("autrichien",B588)),ISNUMBER(SEARCH("suisse",B588)),ISNUMBER(SEARCH("anglais",B588)),ISNUMBER(SEARCH("britannique",B588)),ISNUMBER(SEARCH("écossais",B588)),ISNUMBER(SEARCH("irlandais",B588)),ISNUMBER(SEARCH("russe",B588)),ISNUMBER(SEARCH("portugais",B588)),ISNUMBER(SEARCH("danois",B588)),ISNUMBER(SEARCH("norvégien",B588)),ISNUMBER(SEARCH("suédois",B588)),ISNUMBER(SEARCH("finlandais",B588)),ISNUMBER(SEARCH("polonais",B588)),ISNUMBER(SEARCH("tchèque",B588)),ISNUMBER(SEARCH("hongrois",B588)),ISNUMBER(SEARCH("grec",B588)),ISNUMBER(SEARCH("byzantin",B588)),ISNUMBER(SEARCH("croate",B588)),ISNUMBER(SEARCH("ukrainien",B588)),ISNUMBER(SEARCH("bulgare",B588)),ISNUMBER(SEARCH("biélorusse",B588)),ISNUMBER(SEARCH("maltais",B588))),"Autres pays d'Europe",IF(OR(ISNUMBER(SEARCH("américain",B588)),ISNUMBER(SEARCH("mexicain",B588)),ISNUMBER(SEARCH("canadien",B588)),ISNUMBER(SEARCH("brésilien",B588)),ISNUMBER(SEARCH("argentin",B588))),"Amérique",IF(OR(ISNUMBER(SEARCH("chinois",B588)),ISNUMBER(SEARCH("japonais",B588)),ISNUMBER(SEARCH("coréen",B588)),ISNUMBER(SEARCH("indien",B588)),ISNUMBER(SEARCH("persan",B588)),ISNUMBER(SEARCH("iranien",B588))),"Asie","(non classée)"))))</f>
        <v/>
      </c>
    </row>
    <row r="589">
      <c r="A589" s="2" t="inlineStr">
        <is>
          <t>NICOLAS-SÉBASTIEN ADAM</t>
        </is>
      </c>
      <c r="B589" s="2" t="inlineStr">
        <is>
          <t>française</t>
        </is>
      </c>
      <c r="C589" s="2" t="inlineStr">
        <is>
          <t>sculpture</t>
        </is>
      </c>
      <c r="D589" s="2" t="inlineStr">
        <is>
          <t>18e</t>
        </is>
      </c>
      <c r="U589">
        <f>IF(ISNUMBER(SEARCH("fran",B589)),"France",IF(OR(ISNUMBER(SEARCH("italien",B589)),ISNUMBER(SEARCH("espagn",B589)),ISNUMBER(SEARCH("catalan",B589)),ISNUMBER(SEARCH("flamand",B589)),ISNUMBER(SEARCH("belge",B589)),ISNUMBER(SEARCH("hollandais",B589)),ISNUMBER(SEARCH("néerlandais",B589)),ISNUMBER(SEARCH("allemand",B589)),ISNUMBER(SEARCH("autrichien",B589)),ISNUMBER(SEARCH("suisse",B589)),ISNUMBER(SEARCH("anglais",B589)),ISNUMBER(SEARCH("britannique",B589)),ISNUMBER(SEARCH("écossais",B589)),ISNUMBER(SEARCH("irlandais",B589)),ISNUMBER(SEARCH("russe",B589)),ISNUMBER(SEARCH("portugais",B589)),ISNUMBER(SEARCH("danois",B589)),ISNUMBER(SEARCH("norvégien",B589)),ISNUMBER(SEARCH("suédois",B589)),ISNUMBER(SEARCH("finlandais",B589)),ISNUMBER(SEARCH("polonais",B589)),ISNUMBER(SEARCH("tchèque",B589)),ISNUMBER(SEARCH("hongrois",B589)),ISNUMBER(SEARCH("grec",B589)),ISNUMBER(SEARCH("byzantin",B589)),ISNUMBER(SEARCH("croate",B589)),ISNUMBER(SEARCH("ukrainien",B589)),ISNUMBER(SEARCH("bulgare",B589)),ISNUMBER(SEARCH("biélorusse",B589)),ISNUMBER(SEARCH("maltais",B589))),"Autres pays d'Europe",IF(OR(ISNUMBER(SEARCH("américain",B589)),ISNUMBER(SEARCH("mexicain",B589)),ISNUMBER(SEARCH("canadien",B589)),ISNUMBER(SEARCH("brésilien",B589)),ISNUMBER(SEARCH("argentin",B589))),"Amérique",IF(OR(ISNUMBER(SEARCH("chinois",B589)),ISNUMBER(SEARCH("japonais",B589)),ISNUMBER(SEARCH("coréen",B589)),ISNUMBER(SEARCH("indien",B589)),ISNUMBER(SEARCH("persan",B589)),ISNUMBER(SEARCH("iranien",B589))),"Asie","(non classée)"))))</f>
        <v/>
      </c>
    </row>
    <row r="590">
      <c r="A590" s="2" t="inlineStr">
        <is>
          <t>NINO PISANO</t>
        </is>
      </c>
      <c r="B590" s="2" t="inlineStr">
        <is>
          <t>italienne</t>
        </is>
      </c>
      <c r="C590" s="2" t="inlineStr">
        <is>
          <t>sculpture</t>
        </is>
      </c>
      <c r="D590" s="2" t="inlineStr">
        <is>
          <t>14e</t>
        </is>
      </c>
      <c r="U590">
        <f>IF(ISNUMBER(SEARCH("fran",B590)),"France",IF(OR(ISNUMBER(SEARCH("italien",B590)),ISNUMBER(SEARCH("espagn",B590)),ISNUMBER(SEARCH("catalan",B590)),ISNUMBER(SEARCH("flamand",B590)),ISNUMBER(SEARCH("belge",B590)),ISNUMBER(SEARCH("hollandais",B590)),ISNUMBER(SEARCH("néerlandais",B590)),ISNUMBER(SEARCH("allemand",B590)),ISNUMBER(SEARCH("autrichien",B590)),ISNUMBER(SEARCH("suisse",B590)),ISNUMBER(SEARCH("anglais",B590)),ISNUMBER(SEARCH("britannique",B590)),ISNUMBER(SEARCH("écossais",B590)),ISNUMBER(SEARCH("irlandais",B590)),ISNUMBER(SEARCH("russe",B590)),ISNUMBER(SEARCH("portugais",B590)),ISNUMBER(SEARCH("danois",B590)),ISNUMBER(SEARCH("norvégien",B590)),ISNUMBER(SEARCH("suédois",B590)),ISNUMBER(SEARCH("finlandais",B590)),ISNUMBER(SEARCH("polonais",B590)),ISNUMBER(SEARCH("tchèque",B590)),ISNUMBER(SEARCH("hongrois",B590)),ISNUMBER(SEARCH("grec",B590)),ISNUMBER(SEARCH("byzantin",B590)),ISNUMBER(SEARCH("croate",B590)),ISNUMBER(SEARCH("ukrainien",B590)),ISNUMBER(SEARCH("bulgare",B590)),ISNUMBER(SEARCH("biélorusse",B590)),ISNUMBER(SEARCH("maltais",B590))),"Autres pays d'Europe",IF(OR(ISNUMBER(SEARCH("américain",B590)),ISNUMBER(SEARCH("mexicain",B590)),ISNUMBER(SEARCH("canadien",B590)),ISNUMBER(SEARCH("brésilien",B590)),ISNUMBER(SEARCH("argentin",B590))),"Amérique",IF(OR(ISNUMBER(SEARCH("chinois",B590)),ISNUMBER(SEARCH("japonais",B590)),ISNUMBER(SEARCH("coréen",B590)),ISNUMBER(SEARCH("indien",B590)),ISNUMBER(SEARCH("persan",B590)),ISNUMBER(SEARCH("iranien",B590))),"Asie","(non classée)"))))</f>
        <v/>
      </c>
    </row>
    <row r="591">
      <c r="A591" s="2" t="inlineStr">
        <is>
          <t>NUNO GONÇALVES</t>
        </is>
      </c>
      <c r="B591" s="2" t="inlineStr">
        <is>
          <t>portugaise</t>
        </is>
      </c>
      <c r="C591" s="2" t="inlineStr">
        <is>
          <t>peinture</t>
        </is>
      </c>
      <c r="D591" s="2" t="inlineStr">
        <is>
          <t>15e</t>
        </is>
      </c>
      <c r="U591">
        <f>IF(ISNUMBER(SEARCH("fran",B591)),"France",IF(OR(ISNUMBER(SEARCH("italien",B591)),ISNUMBER(SEARCH("espagn",B591)),ISNUMBER(SEARCH("catalan",B591)),ISNUMBER(SEARCH("flamand",B591)),ISNUMBER(SEARCH("belge",B591)),ISNUMBER(SEARCH("hollandais",B591)),ISNUMBER(SEARCH("néerlandais",B591)),ISNUMBER(SEARCH("allemand",B591)),ISNUMBER(SEARCH("autrichien",B591)),ISNUMBER(SEARCH("suisse",B591)),ISNUMBER(SEARCH("anglais",B591)),ISNUMBER(SEARCH("britannique",B591)),ISNUMBER(SEARCH("écossais",B591)),ISNUMBER(SEARCH("irlandais",B591)),ISNUMBER(SEARCH("russe",B591)),ISNUMBER(SEARCH("portugais",B591)),ISNUMBER(SEARCH("danois",B591)),ISNUMBER(SEARCH("norvégien",B591)),ISNUMBER(SEARCH("suédois",B591)),ISNUMBER(SEARCH("finlandais",B591)),ISNUMBER(SEARCH("polonais",B591)),ISNUMBER(SEARCH("tchèque",B591)),ISNUMBER(SEARCH("hongrois",B591)),ISNUMBER(SEARCH("grec",B591)),ISNUMBER(SEARCH("byzantin",B591)),ISNUMBER(SEARCH("croate",B591)),ISNUMBER(SEARCH("ukrainien",B591)),ISNUMBER(SEARCH("bulgare",B591)),ISNUMBER(SEARCH("biélorusse",B591)),ISNUMBER(SEARCH("maltais",B591))),"Autres pays d'Europe",IF(OR(ISNUMBER(SEARCH("américain",B591)),ISNUMBER(SEARCH("mexicain",B591)),ISNUMBER(SEARCH("canadien",B591)),ISNUMBER(SEARCH("brésilien",B591)),ISNUMBER(SEARCH("argentin",B591))),"Amérique",IF(OR(ISNUMBER(SEARCH("chinois",B591)),ISNUMBER(SEARCH("japonais",B591)),ISNUMBER(SEARCH("coréen",B591)),ISNUMBER(SEARCH("indien",B591)),ISNUMBER(SEARCH("persan",B591)),ISNUMBER(SEARCH("iranien",B591))),"Asie","(non classée)"))))</f>
        <v/>
      </c>
    </row>
    <row r="592">
      <c r="A592" s="2" t="inlineStr">
        <is>
          <t>ODILON REDON</t>
        </is>
      </c>
      <c r="B592" s="2" t="inlineStr">
        <is>
          <t>française</t>
        </is>
      </c>
      <c r="C592" s="2" t="inlineStr">
        <is>
          <t>peinture</t>
        </is>
      </c>
      <c r="D592" s="2" t="inlineStr">
        <is>
          <t>19e</t>
        </is>
      </c>
      <c r="U592">
        <f>IF(ISNUMBER(SEARCH("fran",B592)),"France",IF(OR(ISNUMBER(SEARCH("italien",B592)),ISNUMBER(SEARCH("espagn",B592)),ISNUMBER(SEARCH("catalan",B592)),ISNUMBER(SEARCH("flamand",B592)),ISNUMBER(SEARCH("belge",B592)),ISNUMBER(SEARCH("hollandais",B592)),ISNUMBER(SEARCH("néerlandais",B592)),ISNUMBER(SEARCH("allemand",B592)),ISNUMBER(SEARCH("autrichien",B592)),ISNUMBER(SEARCH("suisse",B592)),ISNUMBER(SEARCH("anglais",B592)),ISNUMBER(SEARCH("britannique",B592)),ISNUMBER(SEARCH("écossais",B592)),ISNUMBER(SEARCH("irlandais",B592)),ISNUMBER(SEARCH("russe",B592)),ISNUMBER(SEARCH("portugais",B592)),ISNUMBER(SEARCH("danois",B592)),ISNUMBER(SEARCH("norvégien",B592)),ISNUMBER(SEARCH("suédois",B592)),ISNUMBER(SEARCH("finlandais",B592)),ISNUMBER(SEARCH("polonais",B592)),ISNUMBER(SEARCH("tchèque",B592)),ISNUMBER(SEARCH("hongrois",B592)),ISNUMBER(SEARCH("grec",B592)),ISNUMBER(SEARCH("byzantin",B592)),ISNUMBER(SEARCH("croate",B592)),ISNUMBER(SEARCH("ukrainien",B592)),ISNUMBER(SEARCH("bulgare",B592)),ISNUMBER(SEARCH("biélorusse",B592)),ISNUMBER(SEARCH("maltais",B592))),"Autres pays d'Europe",IF(OR(ISNUMBER(SEARCH("américain",B592)),ISNUMBER(SEARCH("mexicain",B592)),ISNUMBER(SEARCH("canadien",B592)),ISNUMBER(SEARCH("brésilien",B592)),ISNUMBER(SEARCH("argentin",B592))),"Amérique",IF(OR(ISNUMBER(SEARCH("chinois",B592)),ISNUMBER(SEARCH("japonais",B592)),ISNUMBER(SEARCH("coréen",B592)),ISNUMBER(SEARCH("indien",B592)),ISNUMBER(SEARCH("persan",B592)),ISNUMBER(SEARCH("iranien",B592))),"Asie","(non classée)"))))</f>
        <v/>
      </c>
    </row>
    <row r="593">
      <c r="A593" s="2" t="inlineStr">
        <is>
          <t>ORAZIO GENTILESCHI</t>
        </is>
      </c>
      <c r="B593" s="2" t="inlineStr">
        <is>
          <t>italienne</t>
        </is>
      </c>
      <c r="C593" s="2" t="inlineStr">
        <is>
          <t>peinture</t>
        </is>
      </c>
      <c r="D593" s="2" t="inlineStr">
        <is>
          <t>17e</t>
        </is>
      </c>
      <c r="U593">
        <f>IF(ISNUMBER(SEARCH("fran",B593)),"France",IF(OR(ISNUMBER(SEARCH("italien",B593)),ISNUMBER(SEARCH("espagn",B593)),ISNUMBER(SEARCH("catalan",B593)),ISNUMBER(SEARCH("flamand",B593)),ISNUMBER(SEARCH("belge",B593)),ISNUMBER(SEARCH("hollandais",B593)),ISNUMBER(SEARCH("néerlandais",B593)),ISNUMBER(SEARCH("allemand",B593)),ISNUMBER(SEARCH("autrichien",B593)),ISNUMBER(SEARCH("suisse",B593)),ISNUMBER(SEARCH("anglais",B593)),ISNUMBER(SEARCH("britannique",B593)),ISNUMBER(SEARCH("écossais",B593)),ISNUMBER(SEARCH("irlandais",B593)),ISNUMBER(SEARCH("russe",B593)),ISNUMBER(SEARCH("portugais",B593)),ISNUMBER(SEARCH("danois",B593)),ISNUMBER(SEARCH("norvégien",B593)),ISNUMBER(SEARCH("suédois",B593)),ISNUMBER(SEARCH("finlandais",B593)),ISNUMBER(SEARCH("polonais",B593)),ISNUMBER(SEARCH("tchèque",B593)),ISNUMBER(SEARCH("hongrois",B593)),ISNUMBER(SEARCH("grec",B593)),ISNUMBER(SEARCH("byzantin",B593)),ISNUMBER(SEARCH("croate",B593)),ISNUMBER(SEARCH("ukrainien",B593)),ISNUMBER(SEARCH("bulgare",B593)),ISNUMBER(SEARCH("biélorusse",B593)),ISNUMBER(SEARCH("maltais",B593))),"Autres pays d'Europe",IF(OR(ISNUMBER(SEARCH("américain",B593)),ISNUMBER(SEARCH("mexicain",B593)),ISNUMBER(SEARCH("canadien",B593)),ISNUMBER(SEARCH("brésilien",B593)),ISNUMBER(SEARCH("argentin",B593))),"Amérique",IF(OR(ISNUMBER(SEARCH("chinois",B593)),ISNUMBER(SEARCH("japonais",B593)),ISNUMBER(SEARCH("coréen",B593)),ISNUMBER(SEARCH("indien",B593)),ISNUMBER(SEARCH("persan",B593)),ISNUMBER(SEARCH("iranien",B593))),"Asie","(non classée)"))))</f>
        <v/>
      </c>
    </row>
    <row r="594">
      <c r="A594" s="2" t="inlineStr">
        <is>
          <t>OTHON FRIESZ</t>
        </is>
      </c>
      <c r="B594" s="2" t="inlineStr">
        <is>
          <t>française</t>
        </is>
      </c>
      <c r="C594" s="2" t="inlineStr">
        <is>
          <t>peinture</t>
        </is>
      </c>
      <c r="D594" s="2" t="inlineStr">
        <is>
          <t>20e</t>
        </is>
      </c>
      <c r="U594">
        <f>IF(ISNUMBER(SEARCH("fran",B594)),"France",IF(OR(ISNUMBER(SEARCH("italien",B594)),ISNUMBER(SEARCH("espagn",B594)),ISNUMBER(SEARCH("catalan",B594)),ISNUMBER(SEARCH("flamand",B594)),ISNUMBER(SEARCH("belge",B594)),ISNUMBER(SEARCH("hollandais",B594)),ISNUMBER(SEARCH("néerlandais",B594)),ISNUMBER(SEARCH("allemand",B594)),ISNUMBER(SEARCH("autrichien",B594)),ISNUMBER(SEARCH("suisse",B594)),ISNUMBER(SEARCH("anglais",B594)),ISNUMBER(SEARCH("britannique",B594)),ISNUMBER(SEARCH("écossais",B594)),ISNUMBER(SEARCH("irlandais",B594)),ISNUMBER(SEARCH("russe",B594)),ISNUMBER(SEARCH("portugais",B594)),ISNUMBER(SEARCH("danois",B594)),ISNUMBER(SEARCH("norvégien",B594)),ISNUMBER(SEARCH("suédois",B594)),ISNUMBER(SEARCH("finlandais",B594)),ISNUMBER(SEARCH("polonais",B594)),ISNUMBER(SEARCH("tchèque",B594)),ISNUMBER(SEARCH("hongrois",B594)),ISNUMBER(SEARCH("grec",B594)),ISNUMBER(SEARCH("byzantin",B594)),ISNUMBER(SEARCH("croate",B594)),ISNUMBER(SEARCH("ukrainien",B594)),ISNUMBER(SEARCH("bulgare",B594)),ISNUMBER(SEARCH("biélorusse",B594)),ISNUMBER(SEARCH("maltais",B594))),"Autres pays d'Europe",IF(OR(ISNUMBER(SEARCH("américain",B594)),ISNUMBER(SEARCH("mexicain",B594)),ISNUMBER(SEARCH("canadien",B594)),ISNUMBER(SEARCH("brésilien",B594)),ISNUMBER(SEARCH("argentin",B594))),"Amérique",IF(OR(ISNUMBER(SEARCH("chinois",B594)),ISNUMBER(SEARCH("japonais",B594)),ISNUMBER(SEARCH("coréen",B594)),ISNUMBER(SEARCH("indien",B594)),ISNUMBER(SEARCH("persan",B594)),ISNUMBER(SEARCH("iranien",B594))),"Asie","(non classée)"))))</f>
        <v/>
      </c>
    </row>
    <row r="595">
      <c r="A595" s="2" t="inlineStr">
        <is>
          <t>OTTO MUELLER</t>
        </is>
      </c>
      <c r="B595" s="2" t="inlineStr">
        <is>
          <t>allemande</t>
        </is>
      </c>
      <c r="C595" s="2" t="inlineStr">
        <is>
          <t>peinture</t>
        </is>
      </c>
      <c r="D595" s="2" t="inlineStr">
        <is>
          <t>20e</t>
        </is>
      </c>
      <c r="U595">
        <f>IF(ISNUMBER(SEARCH("fran",B595)),"France",IF(OR(ISNUMBER(SEARCH("italien",B595)),ISNUMBER(SEARCH("espagn",B595)),ISNUMBER(SEARCH("catalan",B595)),ISNUMBER(SEARCH("flamand",B595)),ISNUMBER(SEARCH("belge",B595)),ISNUMBER(SEARCH("hollandais",B595)),ISNUMBER(SEARCH("néerlandais",B595)),ISNUMBER(SEARCH("allemand",B595)),ISNUMBER(SEARCH("autrichien",B595)),ISNUMBER(SEARCH("suisse",B595)),ISNUMBER(SEARCH("anglais",B595)),ISNUMBER(SEARCH("britannique",B595)),ISNUMBER(SEARCH("écossais",B595)),ISNUMBER(SEARCH("irlandais",B595)),ISNUMBER(SEARCH("russe",B595)),ISNUMBER(SEARCH("portugais",B595)),ISNUMBER(SEARCH("danois",B595)),ISNUMBER(SEARCH("norvégien",B595)),ISNUMBER(SEARCH("suédois",B595)),ISNUMBER(SEARCH("finlandais",B595)),ISNUMBER(SEARCH("polonais",B595)),ISNUMBER(SEARCH("tchèque",B595)),ISNUMBER(SEARCH("hongrois",B595)),ISNUMBER(SEARCH("grec",B595)),ISNUMBER(SEARCH("byzantin",B595)),ISNUMBER(SEARCH("croate",B595)),ISNUMBER(SEARCH("ukrainien",B595)),ISNUMBER(SEARCH("bulgare",B595)),ISNUMBER(SEARCH("biélorusse",B595)),ISNUMBER(SEARCH("maltais",B595))),"Autres pays d'Europe",IF(OR(ISNUMBER(SEARCH("américain",B595)),ISNUMBER(SEARCH("mexicain",B595)),ISNUMBER(SEARCH("canadien",B595)),ISNUMBER(SEARCH("brésilien",B595)),ISNUMBER(SEARCH("argentin",B595))),"Amérique",IF(OR(ISNUMBER(SEARCH("chinois",B595)),ISNUMBER(SEARCH("japonais",B595)),ISNUMBER(SEARCH("coréen",B595)),ISNUMBER(SEARCH("indien",B595)),ISNUMBER(SEARCH("persan",B595)),ISNUMBER(SEARCH("iranien",B595))),"Asie","(non classée)"))))</f>
        <v/>
      </c>
    </row>
    <row r="596">
      <c r="A596" s="2" t="inlineStr">
        <is>
          <t>PALMA IL VECCHIO</t>
        </is>
      </c>
      <c r="B596" s="2" t="inlineStr">
        <is>
          <t>italienne</t>
        </is>
      </c>
      <c r="C596" s="2" t="inlineStr">
        <is>
          <t>peinture</t>
        </is>
      </c>
      <c r="D596" s="2" t="inlineStr">
        <is>
          <t>16e</t>
        </is>
      </c>
      <c r="U596">
        <f>IF(ISNUMBER(SEARCH("fran",B596)),"France",IF(OR(ISNUMBER(SEARCH("italien",B596)),ISNUMBER(SEARCH("espagn",B596)),ISNUMBER(SEARCH("catalan",B596)),ISNUMBER(SEARCH("flamand",B596)),ISNUMBER(SEARCH("belge",B596)),ISNUMBER(SEARCH("hollandais",B596)),ISNUMBER(SEARCH("néerlandais",B596)),ISNUMBER(SEARCH("allemand",B596)),ISNUMBER(SEARCH("autrichien",B596)),ISNUMBER(SEARCH("suisse",B596)),ISNUMBER(SEARCH("anglais",B596)),ISNUMBER(SEARCH("britannique",B596)),ISNUMBER(SEARCH("écossais",B596)),ISNUMBER(SEARCH("irlandais",B596)),ISNUMBER(SEARCH("russe",B596)),ISNUMBER(SEARCH("portugais",B596)),ISNUMBER(SEARCH("danois",B596)),ISNUMBER(SEARCH("norvégien",B596)),ISNUMBER(SEARCH("suédois",B596)),ISNUMBER(SEARCH("finlandais",B596)),ISNUMBER(SEARCH("polonais",B596)),ISNUMBER(SEARCH("tchèque",B596)),ISNUMBER(SEARCH("hongrois",B596)),ISNUMBER(SEARCH("grec",B596)),ISNUMBER(SEARCH("byzantin",B596)),ISNUMBER(SEARCH("croate",B596)),ISNUMBER(SEARCH("ukrainien",B596)),ISNUMBER(SEARCH("bulgare",B596)),ISNUMBER(SEARCH("biélorusse",B596)),ISNUMBER(SEARCH("maltais",B596))),"Autres pays d'Europe",IF(OR(ISNUMBER(SEARCH("américain",B596)),ISNUMBER(SEARCH("mexicain",B596)),ISNUMBER(SEARCH("canadien",B596)),ISNUMBER(SEARCH("brésilien",B596)),ISNUMBER(SEARCH("argentin",B596))),"Amérique",IF(OR(ISNUMBER(SEARCH("chinois",B596)),ISNUMBER(SEARCH("japonais",B596)),ISNUMBER(SEARCH("coréen",B596)),ISNUMBER(SEARCH("indien",B596)),ISNUMBER(SEARCH("persan",B596)),ISNUMBER(SEARCH("iranien",B596))),"Asie","(non classée)"))))</f>
        <v/>
      </c>
    </row>
    <row r="597">
      <c r="A597" s="2" t="inlineStr">
        <is>
          <t>PIERINO DA VINCI</t>
        </is>
      </c>
      <c r="B597" s="2" t="inlineStr">
        <is>
          <t>italienne</t>
        </is>
      </c>
      <c r="C597" s="2" t="inlineStr">
        <is>
          <t>sculpture</t>
        </is>
      </c>
      <c r="D597" s="2" t="inlineStr">
        <is>
          <t>16e</t>
        </is>
      </c>
      <c r="U597">
        <f>IF(ISNUMBER(SEARCH("fran",B597)),"France",IF(OR(ISNUMBER(SEARCH("italien",B597)),ISNUMBER(SEARCH("espagn",B597)),ISNUMBER(SEARCH("catalan",B597)),ISNUMBER(SEARCH("flamand",B597)),ISNUMBER(SEARCH("belge",B597)),ISNUMBER(SEARCH("hollandais",B597)),ISNUMBER(SEARCH("néerlandais",B597)),ISNUMBER(SEARCH("allemand",B597)),ISNUMBER(SEARCH("autrichien",B597)),ISNUMBER(SEARCH("suisse",B597)),ISNUMBER(SEARCH("anglais",B597)),ISNUMBER(SEARCH("britannique",B597)),ISNUMBER(SEARCH("écossais",B597)),ISNUMBER(SEARCH("irlandais",B597)),ISNUMBER(SEARCH("russe",B597)),ISNUMBER(SEARCH("portugais",B597)),ISNUMBER(SEARCH("danois",B597)),ISNUMBER(SEARCH("norvégien",B597)),ISNUMBER(SEARCH("suédois",B597)),ISNUMBER(SEARCH("finlandais",B597)),ISNUMBER(SEARCH("polonais",B597)),ISNUMBER(SEARCH("tchèque",B597)),ISNUMBER(SEARCH("hongrois",B597)),ISNUMBER(SEARCH("grec",B597)),ISNUMBER(SEARCH("byzantin",B597)),ISNUMBER(SEARCH("croate",B597)),ISNUMBER(SEARCH("ukrainien",B597)),ISNUMBER(SEARCH("bulgare",B597)),ISNUMBER(SEARCH("biélorusse",B597)),ISNUMBER(SEARCH("maltais",B597))),"Autres pays d'Europe",IF(OR(ISNUMBER(SEARCH("américain",B597)),ISNUMBER(SEARCH("mexicain",B597)),ISNUMBER(SEARCH("canadien",B597)),ISNUMBER(SEARCH("brésilien",B597)),ISNUMBER(SEARCH("argentin",B597))),"Amérique",IF(OR(ISNUMBER(SEARCH("chinois",B597)),ISNUMBER(SEARCH("japonais",B597)),ISNUMBER(SEARCH("coréen",B597)),ISNUMBER(SEARCH("indien",B597)),ISNUMBER(SEARCH("persan",B597)),ISNUMBER(SEARCH("iranien",B597))),"Asie","(non classée)"))))</f>
        <v/>
      </c>
    </row>
    <row r="598">
      <c r="A598" s="2" t="inlineStr">
        <is>
          <t>PIERO DELLA FRANCESCA</t>
        </is>
      </c>
      <c r="B598" s="2" t="inlineStr">
        <is>
          <t>italienne</t>
        </is>
      </c>
      <c r="C598" s="2" t="inlineStr">
        <is>
          <t>peinture</t>
        </is>
      </c>
      <c r="D598" s="2" t="inlineStr">
        <is>
          <t>15e</t>
        </is>
      </c>
      <c r="U598">
        <f>IF(ISNUMBER(SEARCH("fran",B598)),"France",IF(OR(ISNUMBER(SEARCH("italien",B598)),ISNUMBER(SEARCH("espagn",B598)),ISNUMBER(SEARCH("catalan",B598)),ISNUMBER(SEARCH("flamand",B598)),ISNUMBER(SEARCH("belge",B598)),ISNUMBER(SEARCH("hollandais",B598)),ISNUMBER(SEARCH("néerlandais",B598)),ISNUMBER(SEARCH("allemand",B598)),ISNUMBER(SEARCH("autrichien",B598)),ISNUMBER(SEARCH("suisse",B598)),ISNUMBER(SEARCH("anglais",B598)),ISNUMBER(SEARCH("britannique",B598)),ISNUMBER(SEARCH("écossais",B598)),ISNUMBER(SEARCH("irlandais",B598)),ISNUMBER(SEARCH("russe",B598)),ISNUMBER(SEARCH("portugais",B598)),ISNUMBER(SEARCH("danois",B598)),ISNUMBER(SEARCH("norvégien",B598)),ISNUMBER(SEARCH("suédois",B598)),ISNUMBER(SEARCH("finlandais",B598)),ISNUMBER(SEARCH("polonais",B598)),ISNUMBER(SEARCH("tchèque",B598)),ISNUMBER(SEARCH("hongrois",B598)),ISNUMBER(SEARCH("grec",B598)),ISNUMBER(SEARCH("byzantin",B598)),ISNUMBER(SEARCH("croate",B598)),ISNUMBER(SEARCH("ukrainien",B598)),ISNUMBER(SEARCH("bulgare",B598)),ISNUMBER(SEARCH("biélorusse",B598)),ISNUMBER(SEARCH("maltais",B598))),"Autres pays d'Europe",IF(OR(ISNUMBER(SEARCH("américain",B598)),ISNUMBER(SEARCH("mexicain",B598)),ISNUMBER(SEARCH("canadien",B598)),ISNUMBER(SEARCH("brésilien",B598)),ISNUMBER(SEARCH("argentin",B598))),"Amérique",IF(OR(ISNUMBER(SEARCH("chinois",B598)),ISNUMBER(SEARCH("japonais",B598)),ISNUMBER(SEARCH("coréen",B598)),ISNUMBER(SEARCH("indien",B598)),ISNUMBER(SEARCH("persan",B598)),ISNUMBER(SEARCH("iranien",B598))),"Asie","(non classée)"))))</f>
        <v/>
      </c>
    </row>
    <row r="599">
      <c r="A599" s="2" t="inlineStr">
        <is>
          <t>PINTURICCHIO (BERNARDINO DI BETTO)</t>
        </is>
      </c>
      <c r="B599" s="2" t="inlineStr">
        <is>
          <t>italienne</t>
        </is>
      </c>
      <c r="C599" s="2" t="inlineStr">
        <is>
          <t>peinture</t>
        </is>
      </c>
      <c r="D599" s="2" t="inlineStr">
        <is>
          <t>15e</t>
        </is>
      </c>
      <c r="U599">
        <f>IF(ISNUMBER(SEARCH("fran",B599)),"France",IF(OR(ISNUMBER(SEARCH("italien",B599)),ISNUMBER(SEARCH("espagn",B599)),ISNUMBER(SEARCH("catalan",B599)),ISNUMBER(SEARCH("flamand",B599)),ISNUMBER(SEARCH("belge",B599)),ISNUMBER(SEARCH("hollandais",B599)),ISNUMBER(SEARCH("néerlandais",B599)),ISNUMBER(SEARCH("allemand",B599)),ISNUMBER(SEARCH("autrichien",B599)),ISNUMBER(SEARCH("suisse",B599)),ISNUMBER(SEARCH("anglais",B599)),ISNUMBER(SEARCH("britannique",B599)),ISNUMBER(SEARCH("écossais",B599)),ISNUMBER(SEARCH("irlandais",B599)),ISNUMBER(SEARCH("russe",B599)),ISNUMBER(SEARCH("portugais",B599)),ISNUMBER(SEARCH("danois",B599)),ISNUMBER(SEARCH("norvégien",B599)),ISNUMBER(SEARCH("suédois",B599)),ISNUMBER(SEARCH("finlandais",B599)),ISNUMBER(SEARCH("polonais",B599)),ISNUMBER(SEARCH("tchèque",B599)),ISNUMBER(SEARCH("hongrois",B599)),ISNUMBER(SEARCH("grec",B599)),ISNUMBER(SEARCH("byzantin",B599)),ISNUMBER(SEARCH("croate",B599)),ISNUMBER(SEARCH("ukrainien",B599)),ISNUMBER(SEARCH("bulgare",B599)),ISNUMBER(SEARCH("biélorusse",B599)),ISNUMBER(SEARCH("maltais",B599))),"Autres pays d'Europe",IF(OR(ISNUMBER(SEARCH("américain",B599)),ISNUMBER(SEARCH("mexicain",B599)),ISNUMBER(SEARCH("canadien",B599)),ISNUMBER(SEARCH("brésilien",B599)),ISNUMBER(SEARCH("argentin",B599))),"Amérique",IF(OR(ISNUMBER(SEARCH("chinois",B599)),ISNUMBER(SEARCH("japonais",B599)),ISNUMBER(SEARCH("coréen",B599)),ISNUMBER(SEARCH("indien",B599)),ISNUMBER(SEARCH("persan",B599)),ISNUMBER(SEARCH("iranien",B599))),"Asie","(non classée)"))))</f>
        <v/>
      </c>
    </row>
    <row r="600">
      <c r="A600" s="2" t="inlineStr">
        <is>
          <t>PAOLO UCCELLO</t>
        </is>
      </c>
      <c r="B600" s="2" t="inlineStr">
        <is>
          <t>italienne</t>
        </is>
      </c>
      <c r="C600" s="2" t="inlineStr">
        <is>
          <t>peinture</t>
        </is>
      </c>
      <c r="D600" s="2" t="inlineStr">
        <is>
          <t>15e</t>
        </is>
      </c>
      <c r="U600">
        <f>IF(ISNUMBER(SEARCH("fran",B600)),"France",IF(OR(ISNUMBER(SEARCH("italien",B600)),ISNUMBER(SEARCH("espagn",B600)),ISNUMBER(SEARCH("catalan",B600)),ISNUMBER(SEARCH("flamand",B600)),ISNUMBER(SEARCH("belge",B600)),ISNUMBER(SEARCH("hollandais",B600)),ISNUMBER(SEARCH("néerlandais",B600)),ISNUMBER(SEARCH("allemand",B600)),ISNUMBER(SEARCH("autrichien",B600)),ISNUMBER(SEARCH("suisse",B600)),ISNUMBER(SEARCH("anglais",B600)),ISNUMBER(SEARCH("britannique",B600)),ISNUMBER(SEARCH("écossais",B600)),ISNUMBER(SEARCH("irlandais",B600)),ISNUMBER(SEARCH("russe",B600)),ISNUMBER(SEARCH("portugais",B600)),ISNUMBER(SEARCH("danois",B600)),ISNUMBER(SEARCH("norvégien",B600)),ISNUMBER(SEARCH("suédois",B600)),ISNUMBER(SEARCH("finlandais",B600)),ISNUMBER(SEARCH("polonais",B600)),ISNUMBER(SEARCH("tchèque",B600)),ISNUMBER(SEARCH("hongrois",B600)),ISNUMBER(SEARCH("grec",B600)),ISNUMBER(SEARCH("byzantin",B600)),ISNUMBER(SEARCH("croate",B600)),ISNUMBER(SEARCH("ukrainien",B600)),ISNUMBER(SEARCH("bulgare",B600)),ISNUMBER(SEARCH("biélorusse",B600)),ISNUMBER(SEARCH("maltais",B600))),"Autres pays d'Europe",IF(OR(ISNUMBER(SEARCH("américain",B600)),ISNUMBER(SEARCH("mexicain",B600)),ISNUMBER(SEARCH("canadien",B600)),ISNUMBER(SEARCH("brésilien",B600)),ISNUMBER(SEARCH("argentin",B600))),"Amérique",IF(OR(ISNUMBER(SEARCH("chinois",B600)),ISNUMBER(SEARCH("japonais",B600)),ISNUMBER(SEARCH("coréen",B600)),ISNUMBER(SEARCH("indien",B600)),ISNUMBER(SEARCH("persan",B600)),ISNUMBER(SEARCH("iranien",B600))),"Asie","(non classée)"))))</f>
        <v/>
      </c>
    </row>
    <row r="601">
      <c r="A601" s="2" t="inlineStr">
        <is>
          <t>PAOLO VENEZIANO</t>
        </is>
      </c>
      <c r="B601" s="2" t="inlineStr">
        <is>
          <t>italienne</t>
        </is>
      </c>
      <c r="C601" s="2" t="inlineStr">
        <is>
          <t>peinture</t>
        </is>
      </c>
      <c r="D601" s="2" t="inlineStr">
        <is>
          <t>14e</t>
        </is>
      </c>
      <c r="U601">
        <f>IF(ISNUMBER(SEARCH("fran",B601)),"France",IF(OR(ISNUMBER(SEARCH("italien",B601)),ISNUMBER(SEARCH("espagn",B601)),ISNUMBER(SEARCH("catalan",B601)),ISNUMBER(SEARCH("flamand",B601)),ISNUMBER(SEARCH("belge",B601)),ISNUMBER(SEARCH("hollandais",B601)),ISNUMBER(SEARCH("néerlandais",B601)),ISNUMBER(SEARCH("allemand",B601)),ISNUMBER(SEARCH("autrichien",B601)),ISNUMBER(SEARCH("suisse",B601)),ISNUMBER(SEARCH("anglais",B601)),ISNUMBER(SEARCH("britannique",B601)),ISNUMBER(SEARCH("écossais",B601)),ISNUMBER(SEARCH("irlandais",B601)),ISNUMBER(SEARCH("russe",B601)),ISNUMBER(SEARCH("portugais",B601)),ISNUMBER(SEARCH("danois",B601)),ISNUMBER(SEARCH("norvégien",B601)),ISNUMBER(SEARCH("suédois",B601)),ISNUMBER(SEARCH("finlandais",B601)),ISNUMBER(SEARCH("polonais",B601)),ISNUMBER(SEARCH("tchèque",B601)),ISNUMBER(SEARCH("hongrois",B601)),ISNUMBER(SEARCH("grec",B601)),ISNUMBER(SEARCH("byzantin",B601)),ISNUMBER(SEARCH("croate",B601)),ISNUMBER(SEARCH("ukrainien",B601)),ISNUMBER(SEARCH("bulgare",B601)),ISNUMBER(SEARCH("biélorusse",B601)),ISNUMBER(SEARCH("maltais",B601))),"Autres pays d'Europe",IF(OR(ISNUMBER(SEARCH("américain",B601)),ISNUMBER(SEARCH("mexicain",B601)),ISNUMBER(SEARCH("canadien",B601)),ISNUMBER(SEARCH("brésilien",B601)),ISNUMBER(SEARCH("argentin",B601))),"Amérique",IF(OR(ISNUMBER(SEARCH("chinois",B601)),ISNUMBER(SEARCH("japonais",B601)),ISNUMBER(SEARCH("coréen",B601)),ISNUMBER(SEARCH("indien",B601)),ISNUMBER(SEARCH("persan",B601)),ISNUMBER(SEARCH("iranien",B601))),"Asie","(non classée)"))))</f>
        <v/>
      </c>
    </row>
    <row r="602">
      <c r="A602" s="2" t="inlineStr">
        <is>
          <t>PAOLO VÉRONÈSE</t>
        </is>
      </c>
      <c r="B602" s="2" t="inlineStr">
        <is>
          <t>italienne</t>
        </is>
      </c>
      <c r="C602" s="2" t="inlineStr">
        <is>
          <t>peinture</t>
        </is>
      </c>
      <c r="D602" s="2" t="inlineStr">
        <is>
          <t>16e</t>
        </is>
      </c>
      <c r="U602">
        <f>IF(ISNUMBER(SEARCH("fran",B602)),"France",IF(OR(ISNUMBER(SEARCH("italien",B602)),ISNUMBER(SEARCH("espagn",B602)),ISNUMBER(SEARCH("catalan",B602)),ISNUMBER(SEARCH("flamand",B602)),ISNUMBER(SEARCH("belge",B602)),ISNUMBER(SEARCH("hollandais",B602)),ISNUMBER(SEARCH("néerlandais",B602)),ISNUMBER(SEARCH("allemand",B602)),ISNUMBER(SEARCH("autrichien",B602)),ISNUMBER(SEARCH("suisse",B602)),ISNUMBER(SEARCH("anglais",B602)),ISNUMBER(SEARCH("britannique",B602)),ISNUMBER(SEARCH("écossais",B602)),ISNUMBER(SEARCH("irlandais",B602)),ISNUMBER(SEARCH("russe",B602)),ISNUMBER(SEARCH("portugais",B602)),ISNUMBER(SEARCH("danois",B602)),ISNUMBER(SEARCH("norvégien",B602)),ISNUMBER(SEARCH("suédois",B602)),ISNUMBER(SEARCH("finlandais",B602)),ISNUMBER(SEARCH("polonais",B602)),ISNUMBER(SEARCH("tchèque",B602)),ISNUMBER(SEARCH("hongrois",B602)),ISNUMBER(SEARCH("grec",B602)),ISNUMBER(SEARCH("byzantin",B602)),ISNUMBER(SEARCH("croate",B602)),ISNUMBER(SEARCH("ukrainien",B602)),ISNUMBER(SEARCH("bulgare",B602)),ISNUMBER(SEARCH("biélorusse",B602)),ISNUMBER(SEARCH("maltais",B602))),"Autres pays d'Europe",IF(OR(ISNUMBER(SEARCH("américain",B602)),ISNUMBER(SEARCH("mexicain",B602)),ISNUMBER(SEARCH("canadien",B602)),ISNUMBER(SEARCH("brésilien",B602)),ISNUMBER(SEARCH("argentin",B602))),"Amérique",IF(OR(ISNUMBER(SEARCH("chinois",B602)),ISNUMBER(SEARCH("japonais",B602)),ISNUMBER(SEARCH("coréen",B602)),ISNUMBER(SEARCH("indien",B602)),ISNUMBER(SEARCH("persan",B602)),ISNUMBER(SEARCH("iranien",B602))),"Asie","(non classée)"))))</f>
        <v/>
      </c>
    </row>
    <row r="603">
      <c r="A603" s="2" t="inlineStr">
        <is>
          <t>PARIS BORDONE</t>
        </is>
      </c>
      <c r="B603" s="2" t="inlineStr">
        <is>
          <t>italienne</t>
        </is>
      </c>
      <c r="C603" s="2" t="inlineStr">
        <is>
          <t>peinture</t>
        </is>
      </c>
      <c r="D603" s="2" t="inlineStr">
        <is>
          <t>16e</t>
        </is>
      </c>
      <c r="U603">
        <f>IF(ISNUMBER(SEARCH("fran",B603)),"France",IF(OR(ISNUMBER(SEARCH("italien",B603)),ISNUMBER(SEARCH("espagn",B603)),ISNUMBER(SEARCH("catalan",B603)),ISNUMBER(SEARCH("flamand",B603)),ISNUMBER(SEARCH("belge",B603)),ISNUMBER(SEARCH("hollandais",B603)),ISNUMBER(SEARCH("néerlandais",B603)),ISNUMBER(SEARCH("allemand",B603)),ISNUMBER(SEARCH("autrichien",B603)),ISNUMBER(SEARCH("suisse",B603)),ISNUMBER(SEARCH("anglais",B603)),ISNUMBER(SEARCH("britannique",B603)),ISNUMBER(SEARCH("écossais",B603)),ISNUMBER(SEARCH("irlandais",B603)),ISNUMBER(SEARCH("russe",B603)),ISNUMBER(SEARCH("portugais",B603)),ISNUMBER(SEARCH("danois",B603)),ISNUMBER(SEARCH("norvégien",B603)),ISNUMBER(SEARCH("suédois",B603)),ISNUMBER(SEARCH("finlandais",B603)),ISNUMBER(SEARCH("polonais",B603)),ISNUMBER(SEARCH("tchèque",B603)),ISNUMBER(SEARCH("hongrois",B603)),ISNUMBER(SEARCH("grec",B603)),ISNUMBER(SEARCH("byzantin",B603)),ISNUMBER(SEARCH("croate",B603)),ISNUMBER(SEARCH("ukrainien",B603)),ISNUMBER(SEARCH("bulgare",B603)),ISNUMBER(SEARCH("biélorusse",B603)),ISNUMBER(SEARCH("maltais",B603))),"Autres pays d'Europe",IF(OR(ISNUMBER(SEARCH("américain",B603)),ISNUMBER(SEARCH("mexicain",B603)),ISNUMBER(SEARCH("canadien",B603)),ISNUMBER(SEARCH("brésilien",B603)),ISNUMBER(SEARCH("argentin",B603))),"Amérique",IF(OR(ISNUMBER(SEARCH("chinois",B603)),ISNUMBER(SEARCH("japonais",B603)),ISNUMBER(SEARCH("coréen",B603)),ISNUMBER(SEARCH("indien",B603)),ISNUMBER(SEARCH("persan",B603)),ISNUMBER(SEARCH("iranien",B603))),"Asie","(non classée)"))))</f>
        <v/>
      </c>
    </row>
    <row r="604">
      <c r="A604" s="2" t="inlineStr">
        <is>
          <t>PAUL CÉZANNE</t>
        </is>
      </c>
      <c r="B604" s="2" t="inlineStr">
        <is>
          <t>française</t>
        </is>
      </c>
      <c r="C604" s="2" t="inlineStr">
        <is>
          <t>peinture</t>
        </is>
      </c>
      <c r="D604" s="2" t="inlineStr">
        <is>
          <t>19e</t>
        </is>
      </c>
      <c r="U604">
        <f>IF(ISNUMBER(SEARCH("fran",B604)),"France",IF(OR(ISNUMBER(SEARCH("italien",B604)),ISNUMBER(SEARCH("espagn",B604)),ISNUMBER(SEARCH("catalan",B604)),ISNUMBER(SEARCH("flamand",B604)),ISNUMBER(SEARCH("belge",B604)),ISNUMBER(SEARCH("hollandais",B604)),ISNUMBER(SEARCH("néerlandais",B604)),ISNUMBER(SEARCH("allemand",B604)),ISNUMBER(SEARCH("autrichien",B604)),ISNUMBER(SEARCH("suisse",B604)),ISNUMBER(SEARCH("anglais",B604)),ISNUMBER(SEARCH("britannique",B604)),ISNUMBER(SEARCH("écossais",B604)),ISNUMBER(SEARCH("irlandais",B604)),ISNUMBER(SEARCH("russe",B604)),ISNUMBER(SEARCH("portugais",B604)),ISNUMBER(SEARCH("danois",B604)),ISNUMBER(SEARCH("norvégien",B604)),ISNUMBER(SEARCH("suédois",B604)),ISNUMBER(SEARCH("finlandais",B604)),ISNUMBER(SEARCH("polonais",B604)),ISNUMBER(SEARCH("tchèque",B604)),ISNUMBER(SEARCH("hongrois",B604)),ISNUMBER(SEARCH("grec",B604)),ISNUMBER(SEARCH("byzantin",B604)),ISNUMBER(SEARCH("croate",B604)),ISNUMBER(SEARCH("ukrainien",B604)),ISNUMBER(SEARCH("bulgare",B604)),ISNUMBER(SEARCH("biélorusse",B604)),ISNUMBER(SEARCH("maltais",B604))),"Autres pays d'Europe",IF(OR(ISNUMBER(SEARCH("américain",B604)),ISNUMBER(SEARCH("mexicain",B604)),ISNUMBER(SEARCH("canadien",B604)),ISNUMBER(SEARCH("brésilien",B604)),ISNUMBER(SEARCH("argentin",B604))),"Amérique",IF(OR(ISNUMBER(SEARCH("chinois",B604)),ISNUMBER(SEARCH("japonais",B604)),ISNUMBER(SEARCH("coréen",B604)),ISNUMBER(SEARCH("indien",B604)),ISNUMBER(SEARCH("persan",B604)),ISNUMBER(SEARCH("iranien",B604))),"Asie","(non classée)"))))</f>
        <v/>
      </c>
    </row>
    <row r="605">
      <c r="A605" s="2" t="inlineStr">
        <is>
          <t>PAUL DUBOIS</t>
        </is>
      </c>
      <c r="B605" s="2" t="inlineStr">
        <is>
          <t>française</t>
        </is>
      </c>
      <c r="C605" s="2" t="inlineStr">
        <is>
          <t>sculpture</t>
        </is>
      </c>
      <c r="D605" s="2" t="inlineStr">
        <is>
          <t>19e</t>
        </is>
      </c>
      <c r="U605">
        <f>IF(ISNUMBER(SEARCH("fran",B605)),"France",IF(OR(ISNUMBER(SEARCH("italien",B605)),ISNUMBER(SEARCH("espagn",B605)),ISNUMBER(SEARCH("catalan",B605)),ISNUMBER(SEARCH("flamand",B605)),ISNUMBER(SEARCH("belge",B605)),ISNUMBER(SEARCH("hollandais",B605)),ISNUMBER(SEARCH("néerlandais",B605)),ISNUMBER(SEARCH("allemand",B605)),ISNUMBER(SEARCH("autrichien",B605)),ISNUMBER(SEARCH("suisse",B605)),ISNUMBER(SEARCH("anglais",B605)),ISNUMBER(SEARCH("britannique",B605)),ISNUMBER(SEARCH("écossais",B605)),ISNUMBER(SEARCH("irlandais",B605)),ISNUMBER(SEARCH("russe",B605)),ISNUMBER(SEARCH("portugais",B605)),ISNUMBER(SEARCH("danois",B605)),ISNUMBER(SEARCH("norvégien",B605)),ISNUMBER(SEARCH("suédois",B605)),ISNUMBER(SEARCH("finlandais",B605)),ISNUMBER(SEARCH("polonais",B605)),ISNUMBER(SEARCH("tchèque",B605)),ISNUMBER(SEARCH("hongrois",B605)),ISNUMBER(SEARCH("grec",B605)),ISNUMBER(SEARCH("byzantin",B605)),ISNUMBER(SEARCH("croate",B605)),ISNUMBER(SEARCH("ukrainien",B605)),ISNUMBER(SEARCH("bulgare",B605)),ISNUMBER(SEARCH("biélorusse",B605)),ISNUMBER(SEARCH("maltais",B605))),"Autres pays d'Europe",IF(OR(ISNUMBER(SEARCH("américain",B605)),ISNUMBER(SEARCH("mexicain",B605)),ISNUMBER(SEARCH("canadien",B605)),ISNUMBER(SEARCH("brésilien",B605)),ISNUMBER(SEARCH("argentin",B605))),"Amérique",IF(OR(ISNUMBER(SEARCH("chinois",B605)),ISNUMBER(SEARCH("japonais",B605)),ISNUMBER(SEARCH("coréen",B605)),ISNUMBER(SEARCH("indien",B605)),ISNUMBER(SEARCH("persan",B605)),ISNUMBER(SEARCH("iranien",B605))),"Asie","(non classée)"))))</f>
        <v/>
      </c>
    </row>
    <row r="606">
      <c r="A606" s="2" t="inlineStr">
        <is>
          <t>PAUL EGELL</t>
        </is>
      </c>
      <c r="B606" s="2" t="inlineStr">
        <is>
          <t>allemande</t>
        </is>
      </c>
      <c r="C606" s="2" t="inlineStr">
        <is>
          <t>sculpture</t>
        </is>
      </c>
      <c r="D606" s="2" t="inlineStr">
        <is>
          <t>18e</t>
        </is>
      </c>
      <c r="U606">
        <f>IF(ISNUMBER(SEARCH("fran",B606)),"France",IF(OR(ISNUMBER(SEARCH("italien",B606)),ISNUMBER(SEARCH("espagn",B606)),ISNUMBER(SEARCH("catalan",B606)),ISNUMBER(SEARCH("flamand",B606)),ISNUMBER(SEARCH("belge",B606)),ISNUMBER(SEARCH("hollandais",B606)),ISNUMBER(SEARCH("néerlandais",B606)),ISNUMBER(SEARCH("allemand",B606)),ISNUMBER(SEARCH("autrichien",B606)),ISNUMBER(SEARCH("suisse",B606)),ISNUMBER(SEARCH("anglais",B606)),ISNUMBER(SEARCH("britannique",B606)),ISNUMBER(SEARCH("écossais",B606)),ISNUMBER(SEARCH("irlandais",B606)),ISNUMBER(SEARCH("russe",B606)),ISNUMBER(SEARCH("portugais",B606)),ISNUMBER(SEARCH("danois",B606)),ISNUMBER(SEARCH("norvégien",B606)),ISNUMBER(SEARCH("suédois",B606)),ISNUMBER(SEARCH("finlandais",B606)),ISNUMBER(SEARCH("polonais",B606)),ISNUMBER(SEARCH("tchèque",B606)),ISNUMBER(SEARCH("hongrois",B606)),ISNUMBER(SEARCH("grec",B606)),ISNUMBER(SEARCH("byzantin",B606)),ISNUMBER(SEARCH("croate",B606)),ISNUMBER(SEARCH("ukrainien",B606)),ISNUMBER(SEARCH("bulgare",B606)),ISNUMBER(SEARCH("biélorusse",B606)),ISNUMBER(SEARCH("maltais",B606))),"Autres pays d'Europe",IF(OR(ISNUMBER(SEARCH("américain",B606)),ISNUMBER(SEARCH("mexicain",B606)),ISNUMBER(SEARCH("canadien",B606)),ISNUMBER(SEARCH("brésilien",B606)),ISNUMBER(SEARCH("argentin",B606))),"Amérique",IF(OR(ISNUMBER(SEARCH("chinois",B606)),ISNUMBER(SEARCH("japonais",B606)),ISNUMBER(SEARCH("coréen",B606)),ISNUMBER(SEARCH("indien",B606)),ISNUMBER(SEARCH("persan",B606)),ISNUMBER(SEARCH("iranien",B606))),"Asie","(non classée)"))))</f>
        <v/>
      </c>
    </row>
    <row r="607">
      <c r="A607" s="2" t="inlineStr">
        <is>
          <t>PAUL GAUGUIN</t>
        </is>
      </c>
      <c r="B607" s="2" t="inlineStr">
        <is>
          <t>française</t>
        </is>
      </c>
      <c r="C607" s="2" t="inlineStr">
        <is>
          <t>peinture</t>
        </is>
      </c>
      <c r="D607" s="2" t="inlineStr">
        <is>
          <t>19e</t>
        </is>
      </c>
      <c r="U607">
        <f>IF(ISNUMBER(SEARCH("fran",B607)),"France",IF(OR(ISNUMBER(SEARCH("italien",B607)),ISNUMBER(SEARCH("espagn",B607)),ISNUMBER(SEARCH("catalan",B607)),ISNUMBER(SEARCH("flamand",B607)),ISNUMBER(SEARCH("belge",B607)),ISNUMBER(SEARCH("hollandais",B607)),ISNUMBER(SEARCH("néerlandais",B607)),ISNUMBER(SEARCH("allemand",B607)),ISNUMBER(SEARCH("autrichien",B607)),ISNUMBER(SEARCH("suisse",B607)),ISNUMBER(SEARCH("anglais",B607)),ISNUMBER(SEARCH("britannique",B607)),ISNUMBER(SEARCH("écossais",B607)),ISNUMBER(SEARCH("irlandais",B607)),ISNUMBER(SEARCH("russe",B607)),ISNUMBER(SEARCH("portugais",B607)),ISNUMBER(SEARCH("danois",B607)),ISNUMBER(SEARCH("norvégien",B607)),ISNUMBER(SEARCH("suédois",B607)),ISNUMBER(SEARCH("finlandais",B607)),ISNUMBER(SEARCH("polonais",B607)),ISNUMBER(SEARCH("tchèque",B607)),ISNUMBER(SEARCH("hongrois",B607)),ISNUMBER(SEARCH("grec",B607)),ISNUMBER(SEARCH("byzantin",B607)),ISNUMBER(SEARCH("croate",B607)),ISNUMBER(SEARCH("ukrainien",B607)),ISNUMBER(SEARCH("bulgare",B607)),ISNUMBER(SEARCH("biélorusse",B607)),ISNUMBER(SEARCH("maltais",B607))),"Autres pays d'Europe",IF(OR(ISNUMBER(SEARCH("américain",B607)),ISNUMBER(SEARCH("mexicain",B607)),ISNUMBER(SEARCH("canadien",B607)),ISNUMBER(SEARCH("brésilien",B607)),ISNUMBER(SEARCH("argentin",B607))),"Amérique",IF(OR(ISNUMBER(SEARCH("chinois",B607)),ISNUMBER(SEARCH("japonais",B607)),ISNUMBER(SEARCH("coréen",B607)),ISNUMBER(SEARCH("indien",B607)),ISNUMBER(SEARCH("persan",B607)),ISNUMBER(SEARCH("iranien",B607))),"Asie","(non classée)"))))</f>
        <v/>
      </c>
    </row>
    <row r="608">
      <c r="A608" s="2" t="inlineStr">
        <is>
          <t>PAUL KLEE</t>
        </is>
      </c>
      <c r="B608" s="2" t="inlineStr">
        <is>
          <t>suisse</t>
        </is>
      </c>
      <c r="C608" s="2" t="inlineStr">
        <is>
          <t>peinture</t>
        </is>
      </c>
      <c r="D608" s="2" t="inlineStr">
        <is>
          <t>20e</t>
        </is>
      </c>
      <c r="U608">
        <f>IF(ISNUMBER(SEARCH("fran",B608)),"France",IF(OR(ISNUMBER(SEARCH("italien",B608)),ISNUMBER(SEARCH("espagn",B608)),ISNUMBER(SEARCH("catalan",B608)),ISNUMBER(SEARCH("flamand",B608)),ISNUMBER(SEARCH("belge",B608)),ISNUMBER(SEARCH("hollandais",B608)),ISNUMBER(SEARCH("néerlandais",B608)),ISNUMBER(SEARCH("allemand",B608)),ISNUMBER(SEARCH("autrichien",B608)),ISNUMBER(SEARCH("suisse",B608)),ISNUMBER(SEARCH("anglais",B608)),ISNUMBER(SEARCH("britannique",B608)),ISNUMBER(SEARCH("écossais",B608)),ISNUMBER(SEARCH("irlandais",B608)),ISNUMBER(SEARCH("russe",B608)),ISNUMBER(SEARCH("portugais",B608)),ISNUMBER(SEARCH("danois",B608)),ISNUMBER(SEARCH("norvégien",B608)),ISNUMBER(SEARCH("suédois",B608)),ISNUMBER(SEARCH("finlandais",B608)),ISNUMBER(SEARCH("polonais",B608)),ISNUMBER(SEARCH("tchèque",B608)),ISNUMBER(SEARCH("hongrois",B608)),ISNUMBER(SEARCH("grec",B608)),ISNUMBER(SEARCH("byzantin",B608)),ISNUMBER(SEARCH("croate",B608)),ISNUMBER(SEARCH("ukrainien",B608)),ISNUMBER(SEARCH("bulgare",B608)),ISNUMBER(SEARCH("biélorusse",B608)),ISNUMBER(SEARCH("maltais",B608))),"Autres pays d'Europe",IF(OR(ISNUMBER(SEARCH("américain",B608)),ISNUMBER(SEARCH("mexicain",B608)),ISNUMBER(SEARCH("canadien",B608)),ISNUMBER(SEARCH("brésilien",B608)),ISNUMBER(SEARCH("argentin",B608))),"Amérique",IF(OR(ISNUMBER(SEARCH("chinois",B608)),ISNUMBER(SEARCH("japonais",B608)),ISNUMBER(SEARCH("coréen",B608)),ISNUMBER(SEARCH("indien",B608)),ISNUMBER(SEARCH("persan",B608)),ISNUMBER(SEARCH("iranien",B608))),"Asie","(non classée)"))))</f>
        <v/>
      </c>
    </row>
    <row r="609">
      <c r="A609" s="2" t="inlineStr">
        <is>
          <t>PAUL NASH</t>
        </is>
      </c>
      <c r="B609" s="2" t="inlineStr">
        <is>
          <t>anglaise (Royaume-Uni)</t>
        </is>
      </c>
      <c r="C609" s="2" t="inlineStr">
        <is>
          <t>peinture</t>
        </is>
      </c>
      <c r="D609" s="2" t="inlineStr">
        <is>
          <t>20e</t>
        </is>
      </c>
      <c r="U609">
        <f>IF(ISNUMBER(SEARCH("fran",B609)),"France",IF(OR(ISNUMBER(SEARCH("italien",B609)),ISNUMBER(SEARCH("espagn",B609)),ISNUMBER(SEARCH("catalan",B609)),ISNUMBER(SEARCH("flamand",B609)),ISNUMBER(SEARCH("belge",B609)),ISNUMBER(SEARCH("hollandais",B609)),ISNUMBER(SEARCH("néerlandais",B609)),ISNUMBER(SEARCH("allemand",B609)),ISNUMBER(SEARCH("autrichien",B609)),ISNUMBER(SEARCH("suisse",B609)),ISNUMBER(SEARCH("anglais",B609)),ISNUMBER(SEARCH("britannique",B609)),ISNUMBER(SEARCH("écossais",B609)),ISNUMBER(SEARCH("irlandais",B609)),ISNUMBER(SEARCH("russe",B609)),ISNUMBER(SEARCH("portugais",B609)),ISNUMBER(SEARCH("danois",B609)),ISNUMBER(SEARCH("norvégien",B609)),ISNUMBER(SEARCH("suédois",B609)),ISNUMBER(SEARCH("finlandais",B609)),ISNUMBER(SEARCH("polonais",B609)),ISNUMBER(SEARCH("tchèque",B609)),ISNUMBER(SEARCH("hongrois",B609)),ISNUMBER(SEARCH("grec",B609)),ISNUMBER(SEARCH("byzantin",B609)),ISNUMBER(SEARCH("croate",B609)),ISNUMBER(SEARCH("ukrainien",B609)),ISNUMBER(SEARCH("bulgare",B609)),ISNUMBER(SEARCH("biélorusse",B609)),ISNUMBER(SEARCH("maltais",B609))),"Autres pays d'Europe",IF(OR(ISNUMBER(SEARCH("américain",B609)),ISNUMBER(SEARCH("mexicain",B609)),ISNUMBER(SEARCH("canadien",B609)),ISNUMBER(SEARCH("brésilien",B609)),ISNUMBER(SEARCH("argentin",B609))),"Amérique",IF(OR(ISNUMBER(SEARCH("chinois",B609)),ISNUMBER(SEARCH("japonais",B609)),ISNUMBER(SEARCH("coréen",B609)),ISNUMBER(SEARCH("indien",B609)),ISNUMBER(SEARCH("persan",B609)),ISNUMBER(SEARCH("iranien",B609))),"Asie","(non classée)"))))</f>
        <v/>
      </c>
    </row>
    <row r="610">
      <c r="A610" s="2" t="inlineStr">
        <is>
          <t>PAUL SIGNAC</t>
        </is>
      </c>
      <c r="B610" s="2" t="inlineStr">
        <is>
          <t>française</t>
        </is>
      </c>
      <c r="C610" s="2" t="inlineStr">
        <is>
          <t>peinture</t>
        </is>
      </c>
      <c r="D610" s="2" t="inlineStr">
        <is>
          <t>19e</t>
        </is>
      </c>
      <c r="U610">
        <f>IF(ISNUMBER(SEARCH("fran",B610)),"France",IF(OR(ISNUMBER(SEARCH("italien",B610)),ISNUMBER(SEARCH("espagn",B610)),ISNUMBER(SEARCH("catalan",B610)),ISNUMBER(SEARCH("flamand",B610)),ISNUMBER(SEARCH("belge",B610)),ISNUMBER(SEARCH("hollandais",B610)),ISNUMBER(SEARCH("néerlandais",B610)),ISNUMBER(SEARCH("allemand",B610)),ISNUMBER(SEARCH("autrichien",B610)),ISNUMBER(SEARCH("suisse",B610)),ISNUMBER(SEARCH("anglais",B610)),ISNUMBER(SEARCH("britannique",B610)),ISNUMBER(SEARCH("écossais",B610)),ISNUMBER(SEARCH("irlandais",B610)),ISNUMBER(SEARCH("russe",B610)),ISNUMBER(SEARCH("portugais",B610)),ISNUMBER(SEARCH("danois",B610)),ISNUMBER(SEARCH("norvégien",B610)),ISNUMBER(SEARCH("suédois",B610)),ISNUMBER(SEARCH("finlandais",B610)),ISNUMBER(SEARCH("polonais",B610)),ISNUMBER(SEARCH("tchèque",B610)),ISNUMBER(SEARCH("hongrois",B610)),ISNUMBER(SEARCH("grec",B610)),ISNUMBER(SEARCH("byzantin",B610)),ISNUMBER(SEARCH("croate",B610)),ISNUMBER(SEARCH("ukrainien",B610)),ISNUMBER(SEARCH("bulgare",B610)),ISNUMBER(SEARCH("biélorusse",B610)),ISNUMBER(SEARCH("maltais",B610))),"Autres pays d'Europe",IF(OR(ISNUMBER(SEARCH("américain",B610)),ISNUMBER(SEARCH("mexicain",B610)),ISNUMBER(SEARCH("canadien",B610)),ISNUMBER(SEARCH("brésilien",B610)),ISNUMBER(SEARCH("argentin",B610))),"Amérique",IF(OR(ISNUMBER(SEARCH("chinois",B610)),ISNUMBER(SEARCH("japonais",B610)),ISNUMBER(SEARCH("coréen",B610)),ISNUMBER(SEARCH("indien",B610)),ISNUMBER(SEARCH("persan",B610)),ISNUMBER(SEARCH("iranien",B610))),"Asie","(non classée)"))))</f>
        <v/>
      </c>
    </row>
    <row r="611">
      <c r="A611" s="2" t="inlineStr">
        <is>
          <t>PAUL SÉRUSIER</t>
        </is>
      </c>
      <c r="B611" s="2" t="inlineStr">
        <is>
          <t>française</t>
        </is>
      </c>
      <c r="C611" s="2" t="inlineStr">
        <is>
          <t>peinture</t>
        </is>
      </c>
      <c r="D611" s="2" t="inlineStr">
        <is>
          <t>19e</t>
        </is>
      </c>
      <c r="U611">
        <f>IF(ISNUMBER(SEARCH("fran",B611)),"France",IF(OR(ISNUMBER(SEARCH("italien",B611)),ISNUMBER(SEARCH("espagn",B611)),ISNUMBER(SEARCH("catalan",B611)),ISNUMBER(SEARCH("flamand",B611)),ISNUMBER(SEARCH("belge",B611)),ISNUMBER(SEARCH("hollandais",B611)),ISNUMBER(SEARCH("néerlandais",B611)),ISNUMBER(SEARCH("allemand",B611)),ISNUMBER(SEARCH("autrichien",B611)),ISNUMBER(SEARCH("suisse",B611)),ISNUMBER(SEARCH("anglais",B611)),ISNUMBER(SEARCH("britannique",B611)),ISNUMBER(SEARCH("écossais",B611)),ISNUMBER(SEARCH("irlandais",B611)),ISNUMBER(SEARCH("russe",B611)),ISNUMBER(SEARCH("portugais",B611)),ISNUMBER(SEARCH("danois",B611)),ISNUMBER(SEARCH("norvégien",B611)),ISNUMBER(SEARCH("suédois",B611)),ISNUMBER(SEARCH("finlandais",B611)),ISNUMBER(SEARCH("polonais",B611)),ISNUMBER(SEARCH("tchèque",B611)),ISNUMBER(SEARCH("hongrois",B611)),ISNUMBER(SEARCH("grec",B611)),ISNUMBER(SEARCH("byzantin",B611)),ISNUMBER(SEARCH("croate",B611)),ISNUMBER(SEARCH("ukrainien",B611)),ISNUMBER(SEARCH("bulgare",B611)),ISNUMBER(SEARCH("biélorusse",B611)),ISNUMBER(SEARCH("maltais",B611))),"Autres pays d'Europe",IF(OR(ISNUMBER(SEARCH("américain",B611)),ISNUMBER(SEARCH("mexicain",B611)),ISNUMBER(SEARCH("canadien",B611)),ISNUMBER(SEARCH("brésilien",B611)),ISNUMBER(SEARCH("argentin",B611))),"Amérique",IF(OR(ISNUMBER(SEARCH("chinois",B611)),ISNUMBER(SEARCH("japonais",B611)),ISNUMBER(SEARCH("coréen",B611)),ISNUMBER(SEARCH("indien",B611)),ISNUMBER(SEARCH("persan",B611)),ISNUMBER(SEARCH("iranien",B611))),"Asie","(non classée)"))))</f>
        <v/>
      </c>
    </row>
    <row r="612">
      <c r="A612" s="2" t="inlineStr">
        <is>
          <t>PAUL TROUBETZKOY</t>
        </is>
      </c>
      <c r="B612" s="2" t="inlineStr">
        <is>
          <t>russe</t>
        </is>
      </c>
      <c r="C612" s="2" t="inlineStr">
        <is>
          <t>sculpture</t>
        </is>
      </c>
      <c r="D612" s="2" t="inlineStr">
        <is>
          <t>20e</t>
        </is>
      </c>
      <c r="U612">
        <f>IF(ISNUMBER(SEARCH("fran",B612)),"France",IF(OR(ISNUMBER(SEARCH("italien",B612)),ISNUMBER(SEARCH("espagn",B612)),ISNUMBER(SEARCH("catalan",B612)),ISNUMBER(SEARCH("flamand",B612)),ISNUMBER(SEARCH("belge",B612)),ISNUMBER(SEARCH("hollandais",B612)),ISNUMBER(SEARCH("néerlandais",B612)),ISNUMBER(SEARCH("allemand",B612)),ISNUMBER(SEARCH("autrichien",B612)),ISNUMBER(SEARCH("suisse",B612)),ISNUMBER(SEARCH("anglais",B612)),ISNUMBER(SEARCH("britannique",B612)),ISNUMBER(SEARCH("écossais",B612)),ISNUMBER(SEARCH("irlandais",B612)),ISNUMBER(SEARCH("russe",B612)),ISNUMBER(SEARCH("portugais",B612)),ISNUMBER(SEARCH("danois",B612)),ISNUMBER(SEARCH("norvégien",B612)),ISNUMBER(SEARCH("suédois",B612)),ISNUMBER(SEARCH("finlandais",B612)),ISNUMBER(SEARCH("polonais",B612)),ISNUMBER(SEARCH("tchèque",B612)),ISNUMBER(SEARCH("hongrois",B612)),ISNUMBER(SEARCH("grec",B612)),ISNUMBER(SEARCH("byzantin",B612)),ISNUMBER(SEARCH("croate",B612)),ISNUMBER(SEARCH("ukrainien",B612)),ISNUMBER(SEARCH("bulgare",B612)),ISNUMBER(SEARCH("biélorusse",B612)),ISNUMBER(SEARCH("maltais",B612))),"Autres pays d'Europe",IF(OR(ISNUMBER(SEARCH("américain",B612)),ISNUMBER(SEARCH("mexicain",B612)),ISNUMBER(SEARCH("canadien",B612)),ISNUMBER(SEARCH("brésilien",B612)),ISNUMBER(SEARCH("argentin",B612))),"Amérique",IF(OR(ISNUMBER(SEARCH("chinois",B612)),ISNUMBER(SEARCH("japonais",B612)),ISNUMBER(SEARCH("coréen",B612)),ISNUMBER(SEARCH("indien",B612)),ISNUMBER(SEARCH("persan",B612)),ISNUMBER(SEARCH("iranien",B612))),"Asie","(non classée)"))))</f>
        <v/>
      </c>
    </row>
    <row r="613">
      <c r="A613" s="2" t="inlineStr">
        <is>
          <t>PAVEL FILONOV</t>
        </is>
      </c>
      <c r="B613" s="2" t="inlineStr">
        <is>
          <t>russe</t>
        </is>
      </c>
      <c r="C613" s="2" t="inlineStr">
        <is>
          <t>peinture</t>
        </is>
      </c>
      <c r="D613" s="2" t="inlineStr">
        <is>
          <t>20e</t>
        </is>
      </c>
      <c r="U613">
        <f>IF(ISNUMBER(SEARCH("fran",B613)),"France",IF(OR(ISNUMBER(SEARCH("italien",B613)),ISNUMBER(SEARCH("espagn",B613)),ISNUMBER(SEARCH("catalan",B613)),ISNUMBER(SEARCH("flamand",B613)),ISNUMBER(SEARCH("belge",B613)),ISNUMBER(SEARCH("hollandais",B613)),ISNUMBER(SEARCH("néerlandais",B613)),ISNUMBER(SEARCH("allemand",B613)),ISNUMBER(SEARCH("autrichien",B613)),ISNUMBER(SEARCH("suisse",B613)),ISNUMBER(SEARCH("anglais",B613)),ISNUMBER(SEARCH("britannique",B613)),ISNUMBER(SEARCH("écossais",B613)),ISNUMBER(SEARCH("irlandais",B613)),ISNUMBER(SEARCH("russe",B613)),ISNUMBER(SEARCH("portugais",B613)),ISNUMBER(SEARCH("danois",B613)),ISNUMBER(SEARCH("norvégien",B613)),ISNUMBER(SEARCH("suédois",B613)),ISNUMBER(SEARCH("finlandais",B613)),ISNUMBER(SEARCH("polonais",B613)),ISNUMBER(SEARCH("tchèque",B613)),ISNUMBER(SEARCH("hongrois",B613)),ISNUMBER(SEARCH("grec",B613)),ISNUMBER(SEARCH("byzantin",B613)),ISNUMBER(SEARCH("croate",B613)),ISNUMBER(SEARCH("ukrainien",B613)),ISNUMBER(SEARCH("bulgare",B613)),ISNUMBER(SEARCH("biélorusse",B613)),ISNUMBER(SEARCH("maltais",B613))),"Autres pays d'Europe",IF(OR(ISNUMBER(SEARCH("américain",B613)),ISNUMBER(SEARCH("mexicain",B613)),ISNUMBER(SEARCH("canadien",B613)),ISNUMBER(SEARCH("brésilien",B613)),ISNUMBER(SEARCH("argentin",B613))),"Amérique",IF(OR(ISNUMBER(SEARCH("chinois",B613)),ISNUMBER(SEARCH("japonais",B613)),ISNUMBER(SEARCH("coréen",B613)),ISNUMBER(SEARCH("indien",B613)),ISNUMBER(SEARCH("persan",B613)),ISNUMBER(SEARCH("iranien",B613))),"Asie","(non classée)"))))</f>
        <v/>
      </c>
    </row>
    <row r="614">
      <c r="A614" s="2" t="inlineStr">
        <is>
          <t>PEDRO ROLDAN</t>
        </is>
      </c>
      <c r="B614" s="2" t="inlineStr">
        <is>
          <t>espagnole</t>
        </is>
      </c>
      <c r="C614" s="2" t="inlineStr">
        <is>
          <t>sculpture</t>
        </is>
      </c>
      <c r="D614" s="2" t="inlineStr">
        <is>
          <t>17e</t>
        </is>
      </c>
      <c r="U614">
        <f>IF(ISNUMBER(SEARCH("fran",B614)),"France",IF(OR(ISNUMBER(SEARCH("italien",B614)),ISNUMBER(SEARCH("espagn",B614)),ISNUMBER(SEARCH("catalan",B614)),ISNUMBER(SEARCH("flamand",B614)),ISNUMBER(SEARCH("belge",B614)),ISNUMBER(SEARCH("hollandais",B614)),ISNUMBER(SEARCH("néerlandais",B614)),ISNUMBER(SEARCH("allemand",B614)),ISNUMBER(SEARCH("autrichien",B614)),ISNUMBER(SEARCH("suisse",B614)),ISNUMBER(SEARCH("anglais",B614)),ISNUMBER(SEARCH("britannique",B614)),ISNUMBER(SEARCH("écossais",B614)),ISNUMBER(SEARCH("irlandais",B614)),ISNUMBER(SEARCH("russe",B614)),ISNUMBER(SEARCH("portugais",B614)),ISNUMBER(SEARCH("danois",B614)),ISNUMBER(SEARCH("norvégien",B614)),ISNUMBER(SEARCH("suédois",B614)),ISNUMBER(SEARCH("finlandais",B614)),ISNUMBER(SEARCH("polonais",B614)),ISNUMBER(SEARCH("tchèque",B614)),ISNUMBER(SEARCH("hongrois",B614)),ISNUMBER(SEARCH("grec",B614)),ISNUMBER(SEARCH("byzantin",B614)),ISNUMBER(SEARCH("croate",B614)),ISNUMBER(SEARCH("ukrainien",B614)),ISNUMBER(SEARCH("bulgare",B614)),ISNUMBER(SEARCH("biélorusse",B614)),ISNUMBER(SEARCH("maltais",B614))),"Autres pays d'Europe",IF(OR(ISNUMBER(SEARCH("américain",B614)),ISNUMBER(SEARCH("mexicain",B614)),ISNUMBER(SEARCH("canadien",B614)),ISNUMBER(SEARCH("brésilien",B614)),ISNUMBER(SEARCH("argentin",B614))),"Amérique",IF(OR(ISNUMBER(SEARCH("chinois",B614)),ISNUMBER(SEARCH("japonais",B614)),ISNUMBER(SEARCH("coréen",B614)),ISNUMBER(SEARCH("indien",B614)),ISNUMBER(SEARCH("persan",B614)),ISNUMBER(SEARCH("iranien",B614))),"Asie","(non classée)"))))</f>
        <v/>
      </c>
    </row>
    <row r="615">
      <c r="A615" s="2" t="inlineStr">
        <is>
          <t>PEDRO DE MENA</t>
        </is>
      </c>
      <c r="B615" s="2" t="inlineStr">
        <is>
          <t>espagnole</t>
        </is>
      </c>
      <c r="C615" s="2" t="inlineStr">
        <is>
          <t>sculpture</t>
        </is>
      </c>
      <c r="D615" s="2" t="inlineStr">
        <is>
          <t>17e</t>
        </is>
      </c>
      <c r="U615">
        <f>IF(ISNUMBER(SEARCH("fran",B615)),"France",IF(OR(ISNUMBER(SEARCH("italien",B615)),ISNUMBER(SEARCH("espagn",B615)),ISNUMBER(SEARCH("catalan",B615)),ISNUMBER(SEARCH("flamand",B615)),ISNUMBER(SEARCH("belge",B615)),ISNUMBER(SEARCH("hollandais",B615)),ISNUMBER(SEARCH("néerlandais",B615)),ISNUMBER(SEARCH("allemand",B615)),ISNUMBER(SEARCH("autrichien",B615)),ISNUMBER(SEARCH("suisse",B615)),ISNUMBER(SEARCH("anglais",B615)),ISNUMBER(SEARCH("britannique",B615)),ISNUMBER(SEARCH("écossais",B615)),ISNUMBER(SEARCH("irlandais",B615)),ISNUMBER(SEARCH("russe",B615)),ISNUMBER(SEARCH("portugais",B615)),ISNUMBER(SEARCH("danois",B615)),ISNUMBER(SEARCH("norvégien",B615)),ISNUMBER(SEARCH("suédois",B615)),ISNUMBER(SEARCH("finlandais",B615)),ISNUMBER(SEARCH("polonais",B615)),ISNUMBER(SEARCH("tchèque",B615)),ISNUMBER(SEARCH("hongrois",B615)),ISNUMBER(SEARCH("grec",B615)),ISNUMBER(SEARCH("byzantin",B615)),ISNUMBER(SEARCH("croate",B615)),ISNUMBER(SEARCH("ukrainien",B615)),ISNUMBER(SEARCH("bulgare",B615)),ISNUMBER(SEARCH("biélorusse",B615)),ISNUMBER(SEARCH("maltais",B615))),"Autres pays d'Europe",IF(OR(ISNUMBER(SEARCH("américain",B615)),ISNUMBER(SEARCH("mexicain",B615)),ISNUMBER(SEARCH("canadien",B615)),ISNUMBER(SEARCH("brésilien",B615)),ISNUMBER(SEARCH("argentin",B615))),"Amérique",IF(OR(ISNUMBER(SEARCH("chinois",B615)),ISNUMBER(SEARCH("japonais",B615)),ISNUMBER(SEARCH("coréen",B615)),ISNUMBER(SEARCH("indien",B615)),ISNUMBER(SEARCH("persan",B615)),ISNUMBER(SEARCH("iranien",B615))),"Asie","(non classée)"))))</f>
        <v/>
      </c>
    </row>
    <row r="616">
      <c r="A616" s="2" t="inlineStr">
        <is>
          <t>PELLEGRINO TIBALDI</t>
        </is>
      </c>
      <c r="B616" s="2" t="inlineStr">
        <is>
          <t>italienne</t>
        </is>
      </c>
      <c r="C616" s="2" t="inlineStr">
        <is>
          <t>peinture</t>
        </is>
      </c>
      <c r="D616" s="2" t="inlineStr">
        <is>
          <t>16e</t>
        </is>
      </c>
      <c r="U616">
        <f>IF(ISNUMBER(SEARCH("fran",B616)),"France",IF(OR(ISNUMBER(SEARCH("italien",B616)),ISNUMBER(SEARCH("espagn",B616)),ISNUMBER(SEARCH("catalan",B616)),ISNUMBER(SEARCH("flamand",B616)),ISNUMBER(SEARCH("belge",B616)),ISNUMBER(SEARCH("hollandais",B616)),ISNUMBER(SEARCH("néerlandais",B616)),ISNUMBER(SEARCH("allemand",B616)),ISNUMBER(SEARCH("autrichien",B616)),ISNUMBER(SEARCH("suisse",B616)),ISNUMBER(SEARCH("anglais",B616)),ISNUMBER(SEARCH("britannique",B616)),ISNUMBER(SEARCH("écossais",B616)),ISNUMBER(SEARCH("irlandais",B616)),ISNUMBER(SEARCH("russe",B616)),ISNUMBER(SEARCH("portugais",B616)),ISNUMBER(SEARCH("danois",B616)),ISNUMBER(SEARCH("norvégien",B616)),ISNUMBER(SEARCH("suédois",B616)),ISNUMBER(SEARCH("finlandais",B616)),ISNUMBER(SEARCH("polonais",B616)),ISNUMBER(SEARCH("tchèque",B616)),ISNUMBER(SEARCH("hongrois",B616)),ISNUMBER(SEARCH("grec",B616)),ISNUMBER(SEARCH("byzantin",B616)),ISNUMBER(SEARCH("croate",B616)),ISNUMBER(SEARCH("ukrainien",B616)),ISNUMBER(SEARCH("bulgare",B616)),ISNUMBER(SEARCH("biélorusse",B616)),ISNUMBER(SEARCH("maltais",B616))),"Autres pays d'Europe",IF(OR(ISNUMBER(SEARCH("américain",B616)),ISNUMBER(SEARCH("mexicain",B616)),ISNUMBER(SEARCH("canadien",B616)),ISNUMBER(SEARCH("brésilien",B616)),ISNUMBER(SEARCH("argentin",B616))),"Amérique",IF(OR(ISNUMBER(SEARCH("chinois",B616)),ISNUMBER(SEARCH("japonais",B616)),ISNUMBER(SEARCH("coréen",B616)),ISNUMBER(SEARCH("indien",B616)),ISNUMBER(SEARCH("persan",B616)),ISNUMBER(SEARCH("iranien",B616))),"Asie","(non classée)"))))</f>
        <v/>
      </c>
    </row>
    <row r="617">
      <c r="A617" s="2" t="inlineStr">
        <is>
          <t>PERE SERRA</t>
        </is>
      </c>
      <c r="B617" s="2" t="inlineStr">
        <is>
          <t>catalane (Espagne)</t>
        </is>
      </c>
      <c r="C617" s="2" t="inlineStr">
        <is>
          <t>peinture</t>
        </is>
      </c>
      <c r="D617" s="2" t="inlineStr">
        <is>
          <t>14e</t>
        </is>
      </c>
      <c r="U617">
        <f>IF(ISNUMBER(SEARCH("fran",B617)),"France",IF(OR(ISNUMBER(SEARCH("italien",B617)),ISNUMBER(SEARCH("espagn",B617)),ISNUMBER(SEARCH("catalan",B617)),ISNUMBER(SEARCH("flamand",B617)),ISNUMBER(SEARCH("belge",B617)),ISNUMBER(SEARCH("hollandais",B617)),ISNUMBER(SEARCH("néerlandais",B617)),ISNUMBER(SEARCH("allemand",B617)),ISNUMBER(SEARCH("autrichien",B617)),ISNUMBER(SEARCH("suisse",B617)),ISNUMBER(SEARCH("anglais",B617)),ISNUMBER(SEARCH("britannique",B617)),ISNUMBER(SEARCH("écossais",B617)),ISNUMBER(SEARCH("irlandais",B617)),ISNUMBER(SEARCH("russe",B617)),ISNUMBER(SEARCH("portugais",B617)),ISNUMBER(SEARCH("danois",B617)),ISNUMBER(SEARCH("norvégien",B617)),ISNUMBER(SEARCH("suédois",B617)),ISNUMBER(SEARCH("finlandais",B617)),ISNUMBER(SEARCH("polonais",B617)),ISNUMBER(SEARCH("tchèque",B617)),ISNUMBER(SEARCH("hongrois",B617)),ISNUMBER(SEARCH("grec",B617)),ISNUMBER(SEARCH("byzantin",B617)),ISNUMBER(SEARCH("croate",B617)),ISNUMBER(SEARCH("ukrainien",B617)),ISNUMBER(SEARCH("bulgare",B617)),ISNUMBER(SEARCH("biélorusse",B617)),ISNUMBER(SEARCH("maltais",B617))),"Autres pays d'Europe",IF(OR(ISNUMBER(SEARCH("américain",B617)),ISNUMBER(SEARCH("mexicain",B617)),ISNUMBER(SEARCH("canadien",B617)),ISNUMBER(SEARCH("brésilien",B617)),ISNUMBER(SEARCH("argentin",B617))),"Amérique",IF(OR(ISNUMBER(SEARCH("chinois",B617)),ISNUMBER(SEARCH("japonais",B617)),ISNUMBER(SEARCH("coréen",B617)),ISNUMBER(SEARCH("indien",B617)),ISNUMBER(SEARCH("persan",B617)),ISNUMBER(SEARCH("iranien",B617))),"Asie","(non classée)"))))</f>
        <v/>
      </c>
    </row>
    <row r="618">
      <c r="A618" s="2" t="inlineStr">
        <is>
          <t>PETER FLÖTNER</t>
        </is>
      </c>
      <c r="B618" s="2" t="inlineStr">
        <is>
          <t>allemande</t>
        </is>
      </c>
      <c r="C618" s="2" t="inlineStr">
        <is>
          <t>sculpture</t>
        </is>
      </c>
      <c r="D618" s="2" t="inlineStr">
        <is>
          <t>16e</t>
        </is>
      </c>
      <c r="U618">
        <f>IF(ISNUMBER(SEARCH("fran",B618)),"France",IF(OR(ISNUMBER(SEARCH("italien",B618)),ISNUMBER(SEARCH("espagn",B618)),ISNUMBER(SEARCH("catalan",B618)),ISNUMBER(SEARCH("flamand",B618)),ISNUMBER(SEARCH("belge",B618)),ISNUMBER(SEARCH("hollandais",B618)),ISNUMBER(SEARCH("néerlandais",B618)),ISNUMBER(SEARCH("allemand",B618)),ISNUMBER(SEARCH("autrichien",B618)),ISNUMBER(SEARCH("suisse",B618)),ISNUMBER(SEARCH("anglais",B618)),ISNUMBER(SEARCH("britannique",B618)),ISNUMBER(SEARCH("écossais",B618)),ISNUMBER(SEARCH("irlandais",B618)),ISNUMBER(SEARCH("russe",B618)),ISNUMBER(SEARCH("portugais",B618)),ISNUMBER(SEARCH("danois",B618)),ISNUMBER(SEARCH("norvégien",B618)),ISNUMBER(SEARCH("suédois",B618)),ISNUMBER(SEARCH("finlandais",B618)),ISNUMBER(SEARCH("polonais",B618)),ISNUMBER(SEARCH("tchèque",B618)),ISNUMBER(SEARCH("hongrois",B618)),ISNUMBER(SEARCH("grec",B618)),ISNUMBER(SEARCH("byzantin",B618)),ISNUMBER(SEARCH("croate",B618)),ISNUMBER(SEARCH("ukrainien",B618)),ISNUMBER(SEARCH("bulgare",B618)),ISNUMBER(SEARCH("biélorusse",B618)),ISNUMBER(SEARCH("maltais",B618))),"Autres pays d'Europe",IF(OR(ISNUMBER(SEARCH("américain",B618)),ISNUMBER(SEARCH("mexicain",B618)),ISNUMBER(SEARCH("canadien",B618)),ISNUMBER(SEARCH("brésilien",B618)),ISNUMBER(SEARCH("argentin",B618))),"Amérique",IF(OR(ISNUMBER(SEARCH("chinois",B618)),ISNUMBER(SEARCH("japonais",B618)),ISNUMBER(SEARCH("coréen",B618)),ISNUMBER(SEARCH("indien",B618)),ISNUMBER(SEARCH("persan",B618)),ISNUMBER(SEARCH("iranien",B618))),"Asie","(non classée)"))))</f>
        <v/>
      </c>
    </row>
    <row r="619">
      <c r="A619" s="2" t="inlineStr">
        <is>
          <t>PETER LELY</t>
        </is>
      </c>
      <c r="B619" s="2" t="inlineStr">
        <is>
          <t>allemande</t>
        </is>
      </c>
      <c r="C619" s="2" t="inlineStr">
        <is>
          <t>peinture</t>
        </is>
      </c>
      <c r="D619" s="2" t="inlineStr">
        <is>
          <t>17e</t>
        </is>
      </c>
      <c r="U619">
        <f>IF(ISNUMBER(SEARCH("fran",B619)),"France",IF(OR(ISNUMBER(SEARCH("italien",B619)),ISNUMBER(SEARCH("espagn",B619)),ISNUMBER(SEARCH("catalan",B619)),ISNUMBER(SEARCH("flamand",B619)),ISNUMBER(SEARCH("belge",B619)),ISNUMBER(SEARCH("hollandais",B619)),ISNUMBER(SEARCH("néerlandais",B619)),ISNUMBER(SEARCH("allemand",B619)),ISNUMBER(SEARCH("autrichien",B619)),ISNUMBER(SEARCH("suisse",B619)),ISNUMBER(SEARCH("anglais",B619)),ISNUMBER(SEARCH("britannique",B619)),ISNUMBER(SEARCH("écossais",B619)),ISNUMBER(SEARCH("irlandais",B619)),ISNUMBER(SEARCH("russe",B619)),ISNUMBER(SEARCH("portugais",B619)),ISNUMBER(SEARCH("danois",B619)),ISNUMBER(SEARCH("norvégien",B619)),ISNUMBER(SEARCH("suédois",B619)),ISNUMBER(SEARCH("finlandais",B619)),ISNUMBER(SEARCH("polonais",B619)),ISNUMBER(SEARCH("tchèque",B619)),ISNUMBER(SEARCH("hongrois",B619)),ISNUMBER(SEARCH("grec",B619)),ISNUMBER(SEARCH("byzantin",B619)),ISNUMBER(SEARCH("croate",B619)),ISNUMBER(SEARCH("ukrainien",B619)),ISNUMBER(SEARCH("bulgare",B619)),ISNUMBER(SEARCH("biélorusse",B619)),ISNUMBER(SEARCH("maltais",B619))),"Autres pays d'Europe",IF(OR(ISNUMBER(SEARCH("américain",B619)),ISNUMBER(SEARCH("mexicain",B619)),ISNUMBER(SEARCH("canadien",B619)),ISNUMBER(SEARCH("brésilien",B619)),ISNUMBER(SEARCH("argentin",B619))),"Amérique",IF(OR(ISNUMBER(SEARCH("chinois",B619)),ISNUMBER(SEARCH("japonais",B619)),ISNUMBER(SEARCH("coréen",B619)),ISNUMBER(SEARCH("indien",B619)),ISNUMBER(SEARCH("persan",B619)),ISNUMBER(SEARCH("iranien",B619))),"Asie","(non classée)"))))</f>
        <v/>
      </c>
    </row>
    <row r="620">
      <c r="A620" s="2" t="inlineStr">
        <is>
          <t>PETER PARLER</t>
        </is>
      </c>
      <c r="B620" s="2" t="inlineStr">
        <is>
          <t>allemande</t>
        </is>
      </c>
      <c r="C620" s="2" t="inlineStr">
        <is>
          <t>sculpture</t>
        </is>
      </c>
      <c r="D620" s="2" t="inlineStr">
        <is>
          <t>14e</t>
        </is>
      </c>
      <c r="U620">
        <f>IF(ISNUMBER(SEARCH("fran",B620)),"France",IF(OR(ISNUMBER(SEARCH("italien",B620)),ISNUMBER(SEARCH("espagn",B620)),ISNUMBER(SEARCH("catalan",B620)),ISNUMBER(SEARCH("flamand",B620)),ISNUMBER(SEARCH("belge",B620)),ISNUMBER(SEARCH("hollandais",B620)),ISNUMBER(SEARCH("néerlandais",B620)),ISNUMBER(SEARCH("allemand",B620)),ISNUMBER(SEARCH("autrichien",B620)),ISNUMBER(SEARCH("suisse",B620)),ISNUMBER(SEARCH("anglais",B620)),ISNUMBER(SEARCH("britannique",B620)),ISNUMBER(SEARCH("écossais",B620)),ISNUMBER(SEARCH("irlandais",B620)),ISNUMBER(SEARCH("russe",B620)),ISNUMBER(SEARCH("portugais",B620)),ISNUMBER(SEARCH("danois",B620)),ISNUMBER(SEARCH("norvégien",B620)),ISNUMBER(SEARCH("suédois",B620)),ISNUMBER(SEARCH("finlandais",B620)),ISNUMBER(SEARCH("polonais",B620)),ISNUMBER(SEARCH("tchèque",B620)),ISNUMBER(SEARCH("hongrois",B620)),ISNUMBER(SEARCH("grec",B620)),ISNUMBER(SEARCH("byzantin",B620)),ISNUMBER(SEARCH("croate",B620)),ISNUMBER(SEARCH("ukrainien",B620)),ISNUMBER(SEARCH("bulgare",B620)),ISNUMBER(SEARCH("biélorusse",B620)),ISNUMBER(SEARCH("maltais",B620))),"Autres pays d'Europe",IF(OR(ISNUMBER(SEARCH("américain",B620)),ISNUMBER(SEARCH("mexicain",B620)),ISNUMBER(SEARCH("canadien",B620)),ISNUMBER(SEARCH("brésilien",B620)),ISNUMBER(SEARCH("argentin",B620))),"Amérique",IF(OR(ISNUMBER(SEARCH("chinois",B620)),ISNUMBER(SEARCH("japonais",B620)),ISNUMBER(SEARCH("coréen",B620)),ISNUMBER(SEARCH("indien",B620)),ISNUMBER(SEARCH("persan",B620)),ISNUMBER(SEARCH("iranien",B620))),"Asie","(non classée)"))))</f>
        <v/>
      </c>
    </row>
    <row r="621">
      <c r="A621" s="2" t="inlineStr">
        <is>
          <t>PETER PAUL RUBENS</t>
        </is>
      </c>
      <c r="B621" s="2" t="inlineStr">
        <is>
          <t>flamande (Belgique)</t>
        </is>
      </c>
      <c r="C621" s="2" t="inlineStr">
        <is>
          <t>peinture</t>
        </is>
      </c>
      <c r="D621" s="2" t="inlineStr">
        <is>
          <t>17e</t>
        </is>
      </c>
      <c r="U621">
        <f>IF(ISNUMBER(SEARCH("fran",B621)),"France",IF(OR(ISNUMBER(SEARCH("italien",B621)),ISNUMBER(SEARCH("espagn",B621)),ISNUMBER(SEARCH("catalan",B621)),ISNUMBER(SEARCH("flamand",B621)),ISNUMBER(SEARCH("belge",B621)),ISNUMBER(SEARCH("hollandais",B621)),ISNUMBER(SEARCH("néerlandais",B621)),ISNUMBER(SEARCH("allemand",B621)),ISNUMBER(SEARCH("autrichien",B621)),ISNUMBER(SEARCH("suisse",B621)),ISNUMBER(SEARCH("anglais",B621)),ISNUMBER(SEARCH("britannique",B621)),ISNUMBER(SEARCH("écossais",B621)),ISNUMBER(SEARCH("irlandais",B621)),ISNUMBER(SEARCH("russe",B621)),ISNUMBER(SEARCH("portugais",B621)),ISNUMBER(SEARCH("danois",B621)),ISNUMBER(SEARCH("norvégien",B621)),ISNUMBER(SEARCH("suédois",B621)),ISNUMBER(SEARCH("finlandais",B621)),ISNUMBER(SEARCH("polonais",B621)),ISNUMBER(SEARCH("tchèque",B621)),ISNUMBER(SEARCH("hongrois",B621)),ISNUMBER(SEARCH("grec",B621)),ISNUMBER(SEARCH("byzantin",B621)),ISNUMBER(SEARCH("croate",B621)),ISNUMBER(SEARCH("ukrainien",B621)),ISNUMBER(SEARCH("bulgare",B621)),ISNUMBER(SEARCH("biélorusse",B621)),ISNUMBER(SEARCH("maltais",B621))),"Autres pays d'Europe",IF(OR(ISNUMBER(SEARCH("américain",B621)),ISNUMBER(SEARCH("mexicain",B621)),ISNUMBER(SEARCH("canadien",B621)),ISNUMBER(SEARCH("brésilien",B621)),ISNUMBER(SEARCH("argentin",B621))),"Amérique",IF(OR(ISNUMBER(SEARCH("chinois",B621)),ISNUMBER(SEARCH("japonais",B621)),ISNUMBER(SEARCH("coréen",B621)),ISNUMBER(SEARCH("indien",B621)),ISNUMBER(SEARCH("persan",B621)),ISNUMBER(SEARCH("iranien",B621))),"Asie","(non classée)"))))</f>
        <v/>
      </c>
    </row>
    <row r="622">
      <c r="A622" s="2" t="inlineStr">
        <is>
          <t>PETER VISCHER L'ANCIEN</t>
        </is>
      </c>
      <c r="B622" s="2" t="inlineStr">
        <is>
          <t>allemande</t>
        </is>
      </c>
      <c r="C622" s="2" t="inlineStr">
        <is>
          <t>sculpture</t>
        </is>
      </c>
      <c r="D622" s="2" t="inlineStr">
        <is>
          <t>16e</t>
        </is>
      </c>
      <c r="U622">
        <f>IF(ISNUMBER(SEARCH("fran",B622)),"France",IF(OR(ISNUMBER(SEARCH("italien",B622)),ISNUMBER(SEARCH("espagn",B622)),ISNUMBER(SEARCH("catalan",B622)),ISNUMBER(SEARCH("flamand",B622)),ISNUMBER(SEARCH("belge",B622)),ISNUMBER(SEARCH("hollandais",B622)),ISNUMBER(SEARCH("néerlandais",B622)),ISNUMBER(SEARCH("allemand",B622)),ISNUMBER(SEARCH("autrichien",B622)),ISNUMBER(SEARCH("suisse",B622)),ISNUMBER(SEARCH("anglais",B622)),ISNUMBER(SEARCH("britannique",B622)),ISNUMBER(SEARCH("écossais",B622)),ISNUMBER(SEARCH("irlandais",B622)),ISNUMBER(SEARCH("russe",B622)),ISNUMBER(SEARCH("portugais",B622)),ISNUMBER(SEARCH("danois",B622)),ISNUMBER(SEARCH("norvégien",B622)),ISNUMBER(SEARCH("suédois",B622)),ISNUMBER(SEARCH("finlandais",B622)),ISNUMBER(SEARCH("polonais",B622)),ISNUMBER(SEARCH("tchèque",B622)),ISNUMBER(SEARCH("hongrois",B622)),ISNUMBER(SEARCH("grec",B622)),ISNUMBER(SEARCH("byzantin",B622)),ISNUMBER(SEARCH("croate",B622)),ISNUMBER(SEARCH("ukrainien",B622)),ISNUMBER(SEARCH("bulgare",B622)),ISNUMBER(SEARCH("biélorusse",B622)),ISNUMBER(SEARCH("maltais",B622))),"Autres pays d'Europe",IF(OR(ISNUMBER(SEARCH("américain",B622)),ISNUMBER(SEARCH("mexicain",B622)),ISNUMBER(SEARCH("canadien",B622)),ISNUMBER(SEARCH("brésilien",B622)),ISNUMBER(SEARCH("argentin",B622))),"Amérique",IF(OR(ISNUMBER(SEARCH("chinois",B622)),ISNUMBER(SEARCH("japonais",B622)),ISNUMBER(SEARCH("coréen",B622)),ISNUMBER(SEARCH("indien",B622)),ISNUMBER(SEARCH("persan",B622)),ISNUMBER(SEARCH("iranien",B622))),"Asie","(non classée)"))))</f>
        <v/>
      </c>
    </row>
    <row r="623">
      <c r="A623" s="2" t="inlineStr">
        <is>
          <t>PETRUS CHRISTUS</t>
        </is>
      </c>
      <c r="B623" s="2" t="inlineStr">
        <is>
          <t>flamande (Belgique)</t>
        </is>
      </c>
      <c r="C623" s="2" t="inlineStr">
        <is>
          <t>peinture</t>
        </is>
      </c>
      <c r="D623" s="2" t="inlineStr">
        <is>
          <t>15e</t>
        </is>
      </c>
      <c r="U623">
        <f>IF(ISNUMBER(SEARCH("fran",B623)),"France",IF(OR(ISNUMBER(SEARCH("italien",B623)),ISNUMBER(SEARCH("espagn",B623)),ISNUMBER(SEARCH("catalan",B623)),ISNUMBER(SEARCH("flamand",B623)),ISNUMBER(SEARCH("belge",B623)),ISNUMBER(SEARCH("hollandais",B623)),ISNUMBER(SEARCH("néerlandais",B623)),ISNUMBER(SEARCH("allemand",B623)),ISNUMBER(SEARCH("autrichien",B623)),ISNUMBER(SEARCH("suisse",B623)),ISNUMBER(SEARCH("anglais",B623)),ISNUMBER(SEARCH("britannique",B623)),ISNUMBER(SEARCH("écossais",B623)),ISNUMBER(SEARCH("irlandais",B623)),ISNUMBER(SEARCH("russe",B623)),ISNUMBER(SEARCH("portugais",B623)),ISNUMBER(SEARCH("danois",B623)),ISNUMBER(SEARCH("norvégien",B623)),ISNUMBER(SEARCH("suédois",B623)),ISNUMBER(SEARCH("finlandais",B623)),ISNUMBER(SEARCH("polonais",B623)),ISNUMBER(SEARCH("tchèque",B623)),ISNUMBER(SEARCH("hongrois",B623)),ISNUMBER(SEARCH("grec",B623)),ISNUMBER(SEARCH("byzantin",B623)),ISNUMBER(SEARCH("croate",B623)),ISNUMBER(SEARCH("ukrainien",B623)),ISNUMBER(SEARCH("bulgare",B623)),ISNUMBER(SEARCH("biélorusse",B623)),ISNUMBER(SEARCH("maltais",B623))),"Autres pays d'Europe",IF(OR(ISNUMBER(SEARCH("américain",B623)),ISNUMBER(SEARCH("mexicain",B623)),ISNUMBER(SEARCH("canadien",B623)),ISNUMBER(SEARCH("brésilien",B623)),ISNUMBER(SEARCH("argentin",B623))),"Amérique",IF(OR(ISNUMBER(SEARCH("chinois",B623)),ISNUMBER(SEARCH("japonais",B623)),ISNUMBER(SEARCH("coréen",B623)),ISNUMBER(SEARCH("indien",B623)),ISNUMBER(SEARCH("persan",B623)),ISNUMBER(SEARCH("iranien",B623))),"Asie","(non classée)"))))</f>
        <v/>
      </c>
    </row>
    <row r="624">
      <c r="A624" s="2" t="inlineStr">
        <is>
          <t>PHILIPPE DE CHAMPAIGNE</t>
        </is>
      </c>
      <c r="B624" s="2" t="inlineStr">
        <is>
          <t>française</t>
        </is>
      </c>
      <c r="C624" s="2" t="inlineStr">
        <is>
          <t>peinture</t>
        </is>
      </c>
      <c r="D624" s="2" t="inlineStr">
        <is>
          <t>17e</t>
        </is>
      </c>
      <c r="U624">
        <f>IF(ISNUMBER(SEARCH("fran",B624)),"France",IF(OR(ISNUMBER(SEARCH("italien",B624)),ISNUMBER(SEARCH("espagn",B624)),ISNUMBER(SEARCH("catalan",B624)),ISNUMBER(SEARCH("flamand",B624)),ISNUMBER(SEARCH("belge",B624)),ISNUMBER(SEARCH("hollandais",B624)),ISNUMBER(SEARCH("néerlandais",B624)),ISNUMBER(SEARCH("allemand",B624)),ISNUMBER(SEARCH("autrichien",B624)),ISNUMBER(SEARCH("suisse",B624)),ISNUMBER(SEARCH("anglais",B624)),ISNUMBER(SEARCH("britannique",B624)),ISNUMBER(SEARCH("écossais",B624)),ISNUMBER(SEARCH("irlandais",B624)),ISNUMBER(SEARCH("russe",B624)),ISNUMBER(SEARCH("portugais",B624)),ISNUMBER(SEARCH("danois",B624)),ISNUMBER(SEARCH("norvégien",B624)),ISNUMBER(SEARCH("suédois",B624)),ISNUMBER(SEARCH("finlandais",B624)),ISNUMBER(SEARCH("polonais",B624)),ISNUMBER(SEARCH("tchèque",B624)),ISNUMBER(SEARCH("hongrois",B624)),ISNUMBER(SEARCH("grec",B624)),ISNUMBER(SEARCH("byzantin",B624)),ISNUMBER(SEARCH("croate",B624)),ISNUMBER(SEARCH("ukrainien",B624)),ISNUMBER(SEARCH("bulgare",B624)),ISNUMBER(SEARCH("biélorusse",B624)),ISNUMBER(SEARCH("maltais",B624))),"Autres pays d'Europe",IF(OR(ISNUMBER(SEARCH("américain",B624)),ISNUMBER(SEARCH("mexicain",B624)),ISNUMBER(SEARCH("canadien",B624)),ISNUMBER(SEARCH("brésilien",B624)),ISNUMBER(SEARCH("argentin",B624))),"Amérique",IF(OR(ISNUMBER(SEARCH("chinois",B624)),ISNUMBER(SEARCH("japonais",B624)),ISNUMBER(SEARCH("coréen",B624)),ISNUMBER(SEARCH("indien",B624)),ISNUMBER(SEARCH("persan",B624)),ISNUMBER(SEARCH("iranien",B624))),"Asie","(non classée)"))))</f>
        <v/>
      </c>
    </row>
    <row r="625">
      <c r="A625" s="2" t="inlineStr">
        <is>
          <t>PIERO DI COSIMO</t>
        </is>
      </c>
      <c r="B625" s="2" t="inlineStr">
        <is>
          <t>italienne</t>
        </is>
      </c>
      <c r="C625" s="2" t="inlineStr">
        <is>
          <t>peinture</t>
        </is>
      </c>
      <c r="D625" s="2" t="inlineStr">
        <is>
          <t>15e</t>
        </is>
      </c>
      <c r="U625">
        <f>IF(ISNUMBER(SEARCH("fran",B625)),"France",IF(OR(ISNUMBER(SEARCH("italien",B625)),ISNUMBER(SEARCH("espagn",B625)),ISNUMBER(SEARCH("catalan",B625)),ISNUMBER(SEARCH("flamand",B625)),ISNUMBER(SEARCH("belge",B625)),ISNUMBER(SEARCH("hollandais",B625)),ISNUMBER(SEARCH("néerlandais",B625)),ISNUMBER(SEARCH("allemand",B625)),ISNUMBER(SEARCH("autrichien",B625)),ISNUMBER(SEARCH("suisse",B625)),ISNUMBER(SEARCH("anglais",B625)),ISNUMBER(SEARCH("britannique",B625)),ISNUMBER(SEARCH("écossais",B625)),ISNUMBER(SEARCH("irlandais",B625)),ISNUMBER(SEARCH("russe",B625)),ISNUMBER(SEARCH("portugais",B625)),ISNUMBER(SEARCH("danois",B625)),ISNUMBER(SEARCH("norvégien",B625)),ISNUMBER(SEARCH("suédois",B625)),ISNUMBER(SEARCH("finlandais",B625)),ISNUMBER(SEARCH("polonais",B625)),ISNUMBER(SEARCH("tchèque",B625)),ISNUMBER(SEARCH("hongrois",B625)),ISNUMBER(SEARCH("grec",B625)),ISNUMBER(SEARCH("byzantin",B625)),ISNUMBER(SEARCH("croate",B625)),ISNUMBER(SEARCH("ukrainien",B625)),ISNUMBER(SEARCH("bulgare",B625)),ISNUMBER(SEARCH("biélorusse",B625)),ISNUMBER(SEARCH("maltais",B625))),"Autres pays d'Europe",IF(OR(ISNUMBER(SEARCH("américain",B625)),ISNUMBER(SEARCH("mexicain",B625)),ISNUMBER(SEARCH("canadien",B625)),ISNUMBER(SEARCH("brésilien",B625)),ISNUMBER(SEARCH("argentin",B625))),"Amérique",IF(OR(ISNUMBER(SEARCH("chinois",B625)),ISNUMBER(SEARCH("japonais",B625)),ISNUMBER(SEARCH("coréen",B625)),ISNUMBER(SEARCH("indien",B625)),ISNUMBER(SEARCH("persan",B625)),ISNUMBER(SEARCH("iranien",B625))),"Asie","(non classée)"))))</f>
        <v/>
      </c>
    </row>
    <row r="626">
      <c r="A626" s="2" t="inlineStr">
        <is>
          <t>PIERRE BONNARD</t>
        </is>
      </c>
      <c r="B626" s="2" t="inlineStr">
        <is>
          <t>française</t>
        </is>
      </c>
      <c r="C626" s="2" t="inlineStr">
        <is>
          <t>peinture</t>
        </is>
      </c>
      <c r="D626" s="2" t="inlineStr">
        <is>
          <t>20e</t>
        </is>
      </c>
      <c r="U626">
        <f>IF(ISNUMBER(SEARCH("fran",B626)),"France",IF(OR(ISNUMBER(SEARCH("italien",B626)),ISNUMBER(SEARCH("espagn",B626)),ISNUMBER(SEARCH("catalan",B626)),ISNUMBER(SEARCH("flamand",B626)),ISNUMBER(SEARCH("belge",B626)),ISNUMBER(SEARCH("hollandais",B626)),ISNUMBER(SEARCH("néerlandais",B626)),ISNUMBER(SEARCH("allemand",B626)),ISNUMBER(SEARCH("autrichien",B626)),ISNUMBER(SEARCH("suisse",B626)),ISNUMBER(SEARCH("anglais",B626)),ISNUMBER(SEARCH("britannique",B626)),ISNUMBER(SEARCH("écossais",B626)),ISNUMBER(SEARCH("irlandais",B626)),ISNUMBER(SEARCH("russe",B626)),ISNUMBER(SEARCH("portugais",B626)),ISNUMBER(SEARCH("danois",B626)),ISNUMBER(SEARCH("norvégien",B626)),ISNUMBER(SEARCH("suédois",B626)),ISNUMBER(SEARCH("finlandais",B626)),ISNUMBER(SEARCH("polonais",B626)),ISNUMBER(SEARCH("tchèque",B626)),ISNUMBER(SEARCH("hongrois",B626)),ISNUMBER(SEARCH("grec",B626)),ISNUMBER(SEARCH("byzantin",B626)),ISNUMBER(SEARCH("croate",B626)),ISNUMBER(SEARCH("ukrainien",B626)),ISNUMBER(SEARCH("bulgare",B626)),ISNUMBER(SEARCH("biélorusse",B626)),ISNUMBER(SEARCH("maltais",B626))),"Autres pays d'Europe",IF(OR(ISNUMBER(SEARCH("américain",B626)),ISNUMBER(SEARCH("mexicain",B626)),ISNUMBER(SEARCH("canadien",B626)),ISNUMBER(SEARCH("brésilien",B626)),ISNUMBER(SEARCH("argentin",B626))),"Amérique",IF(OR(ISNUMBER(SEARCH("chinois",B626)),ISNUMBER(SEARCH("japonais",B626)),ISNUMBER(SEARCH("coréen",B626)),ISNUMBER(SEARCH("indien",B626)),ISNUMBER(SEARCH("persan",B626)),ISNUMBER(SEARCH("iranien",B626))),"Asie","(non classée)"))))</f>
        <v/>
      </c>
    </row>
    <row r="627">
      <c r="A627" s="2" t="inlineStr">
        <is>
          <t>PIERRE BONTEMPS</t>
        </is>
      </c>
      <c r="B627" s="2" t="inlineStr">
        <is>
          <t>française</t>
        </is>
      </c>
      <c r="C627" s="2" t="inlineStr">
        <is>
          <t>sculpture</t>
        </is>
      </c>
      <c r="D627" s="2" t="inlineStr">
        <is>
          <t>16e</t>
        </is>
      </c>
      <c r="U627">
        <f>IF(ISNUMBER(SEARCH("fran",B627)),"France",IF(OR(ISNUMBER(SEARCH("italien",B627)),ISNUMBER(SEARCH("espagn",B627)),ISNUMBER(SEARCH("catalan",B627)),ISNUMBER(SEARCH("flamand",B627)),ISNUMBER(SEARCH("belge",B627)),ISNUMBER(SEARCH("hollandais",B627)),ISNUMBER(SEARCH("néerlandais",B627)),ISNUMBER(SEARCH("allemand",B627)),ISNUMBER(SEARCH("autrichien",B627)),ISNUMBER(SEARCH("suisse",B627)),ISNUMBER(SEARCH("anglais",B627)),ISNUMBER(SEARCH("britannique",B627)),ISNUMBER(SEARCH("écossais",B627)),ISNUMBER(SEARCH("irlandais",B627)),ISNUMBER(SEARCH("russe",B627)),ISNUMBER(SEARCH("portugais",B627)),ISNUMBER(SEARCH("danois",B627)),ISNUMBER(SEARCH("norvégien",B627)),ISNUMBER(SEARCH("suédois",B627)),ISNUMBER(SEARCH("finlandais",B627)),ISNUMBER(SEARCH("polonais",B627)),ISNUMBER(SEARCH("tchèque",B627)),ISNUMBER(SEARCH("hongrois",B627)),ISNUMBER(SEARCH("grec",B627)),ISNUMBER(SEARCH("byzantin",B627)),ISNUMBER(SEARCH("croate",B627)),ISNUMBER(SEARCH("ukrainien",B627)),ISNUMBER(SEARCH("bulgare",B627)),ISNUMBER(SEARCH("biélorusse",B627)),ISNUMBER(SEARCH("maltais",B627))),"Autres pays d'Europe",IF(OR(ISNUMBER(SEARCH("américain",B627)),ISNUMBER(SEARCH("mexicain",B627)),ISNUMBER(SEARCH("canadien",B627)),ISNUMBER(SEARCH("brésilien",B627)),ISNUMBER(SEARCH("argentin",B627))),"Amérique",IF(OR(ISNUMBER(SEARCH("chinois",B627)),ISNUMBER(SEARCH("japonais",B627)),ISNUMBER(SEARCH("coréen",B627)),ISNUMBER(SEARCH("indien",B627)),ISNUMBER(SEARCH("persan",B627)),ISNUMBER(SEARCH("iranien",B627))),"Asie","(non classée)"))))</f>
        <v/>
      </c>
    </row>
    <row r="628">
      <c r="A628" s="2" t="inlineStr">
        <is>
          <t>PIERRE BONNARD</t>
        </is>
      </c>
      <c r="B628" s="2" t="inlineStr">
        <is>
          <t>française</t>
        </is>
      </c>
      <c r="C628" s="2" t="inlineStr">
        <is>
          <t>peinture</t>
        </is>
      </c>
      <c r="D628" s="2" t="inlineStr">
        <is>
          <t>19e</t>
        </is>
      </c>
      <c r="U628">
        <f>IF(ISNUMBER(SEARCH("fran",B628)),"France",IF(OR(ISNUMBER(SEARCH("italien",B628)),ISNUMBER(SEARCH("espagn",B628)),ISNUMBER(SEARCH("catalan",B628)),ISNUMBER(SEARCH("flamand",B628)),ISNUMBER(SEARCH("belge",B628)),ISNUMBER(SEARCH("hollandais",B628)),ISNUMBER(SEARCH("néerlandais",B628)),ISNUMBER(SEARCH("allemand",B628)),ISNUMBER(SEARCH("autrichien",B628)),ISNUMBER(SEARCH("suisse",B628)),ISNUMBER(SEARCH("anglais",B628)),ISNUMBER(SEARCH("britannique",B628)),ISNUMBER(SEARCH("écossais",B628)),ISNUMBER(SEARCH("irlandais",B628)),ISNUMBER(SEARCH("russe",B628)),ISNUMBER(SEARCH("portugais",B628)),ISNUMBER(SEARCH("danois",B628)),ISNUMBER(SEARCH("norvégien",B628)),ISNUMBER(SEARCH("suédois",B628)),ISNUMBER(SEARCH("finlandais",B628)),ISNUMBER(SEARCH("polonais",B628)),ISNUMBER(SEARCH("tchèque",B628)),ISNUMBER(SEARCH("hongrois",B628)),ISNUMBER(SEARCH("grec",B628)),ISNUMBER(SEARCH("byzantin",B628)),ISNUMBER(SEARCH("croate",B628)),ISNUMBER(SEARCH("ukrainien",B628)),ISNUMBER(SEARCH("bulgare",B628)),ISNUMBER(SEARCH("biélorusse",B628)),ISNUMBER(SEARCH("maltais",B628))),"Autres pays d'Europe",IF(OR(ISNUMBER(SEARCH("américain",B628)),ISNUMBER(SEARCH("mexicain",B628)),ISNUMBER(SEARCH("canadien",B628)),ISNUMBER(SEARCH("brésilien",B628)),ISNUMBER(SEARCH("argentin",B628))),"Amérique",IF(OR(ISNUMBER(SEARCH("chinois",B628)),ISNUMBER(SEARCH("japonais",B628)),ISNUMBER(SEARCH("coréen",B628)),ISNUMBER(SEARCH("indien",B628)),ISNUMBER(SEARCH("persan",B628)),ISNUMBER(SEARCH("iranien",B628))),"Asie","(non classée)"))))</f>
        <v/>
      </c>
    </row>
    <row r="629">
      <c r="A629" s="2" t="inlineStr">
        <is>
          <t>PIERRE JULIEN</t>
        </is>
      </c>
      <c r="B629" s="2" t="inlineStr">
        <is>
          <t>française</t>
        </is>
      </c>
      <c r="C629" s="2" t="inlineStr">
        <is>
          <t>sculpture</t>
        </is>
      </c>
      <c r="D629" s="2" t="inlineStr">
        <is>
          <t>18e</t>
        </is>
      </c>
      <c r="U629">
        <f>IF(ISNUMBER(SEARCH("fran",B629)),"France",IF(OR(ISNUMBER(SEARCH("italien",B629)),ISNUMBER(SEARCH("espagn",B629)),ISNUMBER(SEARCH("catalan",B629)),ISNUMBER(SEARCH("flamand",B629)),ISNUMBER(SEARCH("belge",B629)),ISNUMBER(SEARCH("hollandais",B629)),ISNUMBER(SEARCH("néerlandais",B629)),ISNUMBER(SEARCH("allemand",B629)),ISNUMBER(SEARCH("autrichien",B629)),ISNUMBER(SEARCH("suisse",B629)),ISNUMBER(SEARCH("anglais",B629)),ISNUMBER(SEARCH("britannique",B629)),ISNUMBER(SEARCH("écossais",B629)),ISNUMBER(SEARCH("irlandais",B629)),ISNUMBER(SEARCH("russe",B629)),ISNUMBER(SEARCH("portugais",B629)),ISNUMBER(SEARCH("danois",B629)),ISNUMBER(SEARCH("norvégien",B629)),ISNUMBER(SEARCH("suédois",B629)),ISNUMBER(SEARCH("finlandais",B629)),ISNUMBER(SEARCH("polonais",B629)),ISNUMBER(SEARCH("tchèque",B629)),ISNUMBER(SEARCH("hongrois",B629)),ISNUMBER(SEARCH("grec",B629)),ISNUMBER(SEARCH("byzantin",B629)),ISNUMBER(SEARCH("croate",B629)),ISNUMBER(SEARCH("ukrainien",B629)),ISNUMBER(SEARCH("bulgare",B629)),ISNUMBER(SEARCH("biélorusse",B629)),ISNUMBER(SEARCH("maltais",B629))),"Autres pays d'Europe",IF(OR(ISNUMBER(SEARCH("américain",B629)),ISNUMBER(SEARCH("mexicain",B629)),ISNUMBER(SEARCH("canadien",B629)),ISNUMBER(SEARCH("brésilien",B629)),ISNUMBER(SEARCH("argentin",B629))),"Amérique",IF(OR(ISNUMBER(SEARCH("chinois",B629)),ISNUMBER(SEARCH("japonais",B629)),ISNUMBER(SEARCH("coréen",B629)),ISNUMBER(SEARCH("indien",B629)),ISNUMBER(SEARCH("persan",B629)),ISNUMBER(SEARCH("iranien",B629))),"Asie","(non classée)"))))</f>
        <v/>
      </c>
    </row>
    <row r="630">
      <c r="A630" s="2" t="inlineStr">
        <is>
          <t>PIERRE LEGROS L'AÎNÉ</t>
        </is>
      </c>
      <c r="B630" s="2" t="inlineStr">
        <is>
          <t>française</t>
        </is>
      </c>
      <c r="C630" s="2" t="inlineStr">
        <is>
          <t>sculpture</t>
        </is>
      </c>
      <c r="D630" s="2" t="inlineStr">
        <is>
          <t>17e</t>
        </is>
      </c>
      <c r="U630">
        <f>IF(ISNUMBER(SEARCH("fran",B630)),"France",IF(OR(ISNUMBER(SEARCH("italien",B630)),ISNUMBER(SEARCH("espagn",B630)),ISNUMBER(SEARCH("catalan",B630)),ISNUMBER(SEARCH("flamand",B630)),ISNUMBER(SEARCH("belge",B630)),ISNUMBER(SEARCH("hollandais",B630)),ISNUMBER(SEARCH("néerlandais",B630)),ISNUMBER(SEARCH("allemand",B630)),ISNUMBER(SEARCH("autrichien",B630)),ISNUMBER(SEARCH("suisse",B630)),ISNUMBER(SEARCH("anglais",B630)),ISNUMBER(SEARCH("britannique",B630)),ISNUMBER(SEARCH("écossais",B630)),ISNUMBER(SEARCH("irlandais",B630)),ISNUMBER(SEARCH("russe",B630)),ISNUMBER(SEARCH("portugais",B630)),ISNUMBER(SEARCH("danois",B630)),ISNUMBER(SEARCH("norvégien",B630)),ISNUMBER(SEARCH("suédois",B630)),ISNUMBER(SEARCH("finlandais",B630)),ISNUMBER(SEARCH("polonais",B630)),ISNUMBER(SEARCH("tchèque",B630)),ISNUMBER(SEARCH("hongrois",B630)),ISNUMBER(SEARCH("grec",B630)),ISNUMBER(SEARCH("byzantin",B630)),ISNUMBER(SEARCH("croate",B630)),ISNUMBER(SEARCH("ukrainien",B630)),ISNUMBER(SEARCH("bulgare",B630)),ISNUMBER(SEARCH("biélorusse",B630)),ISNUMBER(SEARCH("maltais",B630))),"Autres pays d'Europe",IF(OR(ISNUMBER(SEARCH("américain",B630)),ISNUMBER(SEARCH("mexicain",B630)),ISNUMBER(SEARCH("canadien",B630)),ISNUMBER(SEARCH("brésilien",B630)),ISNUMBER(SEARCH("argentin",B630))),"Amérique",IF(OR(ISNUMBER(SEARCH("chinois",B630)),ISNUMBER(SEARCH("japonais",B630)),ISNUMBER(SEARCH("coréen",B630)),ISNUMBER(SEARCH("indien",B630)),ISNUMBER(SEARCH("persan",B630)),ISNUMBER(SEARCH("iranien",B630))),"Asie","(non classée)"))))</f>
        <v/>
      </c>
    </row>
    <row r="631">
      <c r="A631" s="2" t="inlineStr">
        <is>
          <t>PIERRE LEGROS LE JEUNE</t>
        </is>
      </c>
      <c r="B631" s="2" t="inlineStr">
        <is>
          <t>française</t>
        </is>
      </c>
      <c r="C631" s="2" t="inlineStr">
        <is>
          <t>sculpture</t>
        </is>
      </c>
      <c r="D631" s="2" t="inlineStr">
        <is>
          <t>17e</t>
        </is>
      </c>
      <c r="U631">
        <f>IF(ISNUMBER(SEARCH("fran",B631)),"France",IF(OR(ISNUMBER(SEARCH("italien",B631)),ISNUMBER(SEARCH("espagn",B631)),ISNUMBER(SEARCH("catalan",B631)),ISNUMBER(SEARCH("flamand",B631)),ISNUMBER(SEARCH("belge",B631)),ISNUMBER(SEARCH("hollandais",B631)),ISNUMBER(SEARCH("néerlandais",B631)),ISNUMBER(SEARCH("allemand",B631)),ISNUMBER(SEARCH("autrichien",B631)),ISNUMBER(SEARCH("suisse",B631)),ISNUMBER(SEARCH("anglais",B631)),ISNUMBER(SEARCH("britannique",B631)),ISNUMBER(SEARCH("écossais",B631)),ISNUMBER(SEARCH("irlandais",B631)),ISNUMBER(SEARCH("russe",B631)),ISNUMBER(SEARCH("portugais",B631)),ISNUMBER(SEARCH("danois",B631)),ISNUMBER(SEARCH("norvégien",B631)),ISNUMBER(SEARCH("suédois",B631)),ISNUMBER(SEARCH("finlandais",B631)),ISNUMBER(SEARCH("polonais",B631)),ISNUMBER(SEARCH("tchèque",B631)),ISNUMBER(SEARCH("hongrois",B631)),ISNUMBER(SEARCH("grec",B631)),ISNUMBER(SEARCH("byzantin",B631)),ISNUMBER(SEARCH("croate",B631)),ISNUMBER(SEARCH("ukrainien",B631)),ISNUMBER(SEARCH("bulgare",B631)),ISNUMBER(SEARCH("biélorusse",B631)),ISNUMBER(SEARCH("maltais",B631))),"Autres pays d'Europe",IF(OR(ISNUMBER(SEARCH("américain",B631)),ISNUMBER(SEARCH("mexicain",B631)),ISNUMBER(SEARCH("canadien",B631)),ISNUMBER(SEARCH("brésilien",B631)),ISNUMBER(SEARCH("argentin",B631))),"Amérique",IF(OR(ISNUMBER(SEARCH("chinois",B631)),ISNUMBER(SEARCH("japonais",B631)),ISNUMBER(SEARCH("coréen",B631)),ISNUMBER(SEARCH("indien",B631)),ISNUMBER(SEARCH("persan",B631)),ISNUMBER(SEARCH("iranien",B631))),"Asie","(non classée)"))))</f>
        <v/>
      </c>
    </row>
    <row r="632">
      <c r="A632" s="2" t="inlineStr">
        <is>
          <t>PIERRE PUGET</t>
        </is>
      </c>
      <c r="B632" s="2" t="inlineStr">
        <is>
          <t>française</t>
        </is>
      </c>
      <c r="C632" s="2" t="inlineStr">
        <is>
          <t>sculpture</t>
        </is>
      </c>
      <c r="D632" s="2" t="inlineStr">
        <is>
          <t>17e</t>
        </is>
      </c>
      <c r="U632">
        <f>IF(ISNUMBER(SEARCH("fran",B632)),"France",IF(OR(ISNUMBER(SEARCH("italien",B632)),ISNUMBER(SEARCH("espagn",B632)),ISNUMBER(SEARCH("catalan",B632)),ISNUMBER(SEARCH("flamand",B632)),ISNUMBER(SEARCH("belge",B632)),ISNUMBER(SEARCH("hollandais",B632)),ISNUMBER(SEARCH("néerlandais",B632)),ISNUMBER(SEARCH("allemand",B632)),ISNUMBER(SEARCH("autrichien",B632)),ISNUMBER(SEARCH("suisse",B632)),ISNUMBER(SEARCH("anglais",B632)),ISNUMBER(SEARCH("britannique",B632)),ISNUMBER(SEARCH("écossais",B632)),ISNUMBER(SEARCH("irlandais",B632)),ISNUMBER(SEARCH("russe",B632)),ISNUMBER(SEARCH("portugais",B632)),ISNUMBER(SEARCH("danois",B632)),ISNUMBER(SEARCH("norvégien",B632)),ISNUMBER(SEARCH("suédois",B632)),ISNUMBER(SEARCH("finlandais",B632)),ISNUMBER(SEARCH("polonais",B632)),ISNUMBER(SEARCH("tchèque",B632)),ISNUMBER(SEARCH("hongrois",B632)),ISNUMBER(SEARCH("grec",B632)),ISNUMBER(SEARCH("byzantin",B632)),ISNUMBER(SEARCH("croate",B632)),ISNUMBER(SEARCH("ukrainien",B632)),ISNUMBER(SEARCH("bulgare",B632)),ISNUMBER(SEARCH("biélorusse",B632)),ISNUMBER(SEARCH("maltais",B632))),"Autres pays d'Europe",IF(OR(ISNUMBER(SEARCH("américain",B632)),ISNUMBER(SEARCH("mexicain",B632)),ISNUMBER(SEARCH("canadien",B632)),ISNUMBER(SEARCH("brésilien",B632)),ISNUMBER(SEARCH("argentin",B632))),"Amérique",IF(OR(ISNUMBER(SEARCH("chinois",B632)),ISNUMBER(SEARCH("japonais",B632)),ISNUMBER(SEARCH("coréen",B632)),ISNUMBER(SEARCH("indien",B632)),ISNUMBER(SEARCH("persan",B632)),ISNUMBER(SEARCH("iranien",B632))),"Asie","(non classée)"))))</f>
        <v/>
      </c>
    </row>
    <row r="633">
      <c r="A633" s="2" t="inlineStr">
        <is>
          <t>PIERRE PUVIS DE CHAVANNE</t>
        </is>
      </c>
      <c r="B633" s="2" t="inlineStr">
        <is>
          <t>française</t>
        </is>
      </c>
      <c r="C633" s="2" t="inlineStr">
        <is>
          <t>peinture</t>
        </is>
      </c>
      <c r="D633" s="2" t="inlineStr">
        <is>
          <t>19e</t>
        </is>
      </c>
      <c r="U633">
        <f>IF(ISNUMBER(SEARCH("fran",B633)),"France",IF(OR(ISNUMBER(SEARCH("italien",B633)),ISNUMBER(SEARCH("espagn",B633)),ISNUMBER(SEARCH("catalan",B633)),ISNUMBER(SEARCH("flamand",B633)),ISNUMBER(SEARCH("belge",B633)),ISNUMBER(SEARCH("hollandais",B633)),ISNUMBER(SEARCH("néerlandais",B633)),ISNUMBER(SEARCH("allemand",B633)),ISNUMBER(SEARCH("autrichien",B633)),ISNUMBER(SEARCH("suisse",B633)),ISNUMBER(SEARCH("anglais",B633)),ISNUMBER(SEARCH("britannique",B633)),ISNUMBER(SEARCH("écossais",B633)),ISNUMBER(SEARCH("irlandais",B633)),ISNUMBER(SEARCH("russe",B633)),ISNUMBER(SEARCH("portugais",B633)),ISNUMBER(SEARCH("danois",B633)),ISNUMBER(SEARCH("norvégien",B633)),ISNUMBER(SEARCH("suédois",B633)),ISNUMBER(SEARCH("finlandais",B633)),ISNUMBER(SEARCH("polonais",B633)),ISNUMBER(SEARCH("tchèque",B633)),ISNUMBER(SEARCH("hongrois",B633)),ISNUMBER(SEARCH("grec",B633)),ISNUMBER(SEARCH("byzantin",B633)),ISNUMBER(SEARCH("croate",B633)),ISNUMBER(SEARCH("ukrainien",B633)),ISNUMBER(SEARCH("bulgare",B633)),ISNUMBER(SEARCH("biélorusse",B633)),ISNUMBER(SEARCH("maltais",B633))),"Autres pays d'Europe",IF(OR(ISNUMBER(SEARCH("américain",B633)),ISNUMBER(SEARCH("mexicain",B633)),ISNUMBER(SEARCH("canadien",B633)),ISNUMBER(SEARCH("brésilien",B633)),ISNUMBER(SEARCH("argentin",B633))),"Amérique",IF(OR(ISNUMBER(SEARCH("chinois",B633)),ISNUMBER(SEARCH("japonais",B633)),ISNUMBER(SEARCH("coréen",B633)),ISNUMBER(SEARCH("indien",B633)),ISNUMBER(SEARCH("persan",B633)),ISNUMBER(SEARCH("iranien",B633))),"Asie","(non classée)"))))</f>
        <v/>
      </c>
    </row>
    <row r="634">
      <c r="A634" s="2" t="inlineStr">
        <is>
          <t>PIERRE-AUGUSTE RENOIR</t>
        </is>
      </c>
      <c r="B634" s="2" t="inlineStr">
        <is>
          <t>française</t>
        </is>
      </c>
      <c r="C634" s="2" t="inlineStr">
        <is>
          <t>peinture</t>
        </is>
      </c>
      <c r="D634" s="2" t="inlineStr">
        <is>
          <t>19e</t>
        </is>
      </c>
      <c r="U634">
        <f>IF(ISNUMBER(SEARCH("fran",B634)),"France",IF(OR(ISNUMBER(SEARCH("italien",B634)),ISNUMBER(SEARCH("espagn",B634)),ISNUMBER(SEARCH("catalan",B634)),ISNUMBER(SEARCH("flamand",B634)),ISNUMBER(SEARCH("belge",B634)),ISNUMBER(SEARCH("hollandais",B634)),ISNUMBER(SEARCH("néerlandais",B634)),ISNUMBER(SEARCH("allemand",B634)),ISNUMBER(SEARCH("autrichien",B634)),ISNUMBER(SEARCH("suisse",B634)),ISNUMBER(SEARCH("anglais",B634)),ISNUMBER(SEARCH("britannique",B634)),ISNUMBER(SEARCH("écossais",B634)),ISNUMBER(SEARCH("irlandais",B634)),ISNUMBER(SEARCH("russe",B634)),ISNUMBER(SEARCH("portugais",B634)),ISNUMBER(SEARCH("danois",B634)),ISNUMBER(SEARCH("norvégien",B634)),ISNUMBER(SEARCH("suédois",B634)),ISNUMBER(SEARCH("finlandais",B634)),ISNUMBER(SEARCH("polonais",B634)),ISNUMBER(SEARCH("tchèque",B634)),ISNUMBER(SEARCH("hongrois",B634)),ISNUMBER(SEARCH("grec",B634)),ISNUMBER(SEARCH("byzantin",B634)),ISNUMBER(SEARCH("croate",B634)),ISNUMBER(SEARCH("ukrainien",B634)),ISNUMBER(SEARCH("bulgare",B634)),ISNUMBER(SEARCH("biélorusse",B634)),ISNUMBER(SEARCH("maltais",B634))),"Autres pays d'Europe",IF(OR(ISNUMBER(SEARCH("américain",B634)),ISNUMBER(SEARCH("mexicain",B634)),ISNUMBER(SEARCH("canadien",B634)),ISNUMBER(SEARCH("brésilien",B634)),ISNUMBER(SEARCH("argentin",B634))),"Amérique",IF(OR(ISNUMBER(SEARCH("chinois",B634)),ISNUMBER(SEARCH("japonais",B634)),ISNUMBER(SEARCH("coréen",B634)),ISNUMBER(SEARCH("indien",B634)),ISNUMBER(SEARCH("persan",B634)),ISNUMBER(SEARCH("iranien",B634))),"Asie","(non classée)"))))</f>
        <v/>
      </c>
    </row>
    <row r="635">
      <c r="A635" s="2" t="inlineStr">
        <is>
          <t>PIERRE-FRANÇOIS BERRUER</t>
        </is>
      </c>
      <c r="B635" s="2" t="inlineStr">
        <is>
          <t>française</t>
        </is>
      </c>
      <c r="C635" s="2" t="inlineStr">
        <is>
          <t>sculpture</t>
        </is>
      </c>
      <c r="D635" s="2" t="inlineStr">
        <is>
          <t>18e</t>
        </is>
      </c>
      <c r="U635">
        <f>IF(ISNUMBER(SEARCH("fran",B635)),"France",IF(OR(ISNUMBER(SEARCH("italien",B635)),ISNUMBER(SEARCH("espagn",B635)),ISNUMBER(SEARCH("catalan",B635)),ISNUMBER(SEARCH("flamand",B635)),ISNUMBER(SEARCH("belge",B635)),ISNUMBER(SEARCH("hollandais",B635)),ISNUMBER(SEARCH("néerlandais",B635)),ISNUMBER(SEARCH("allemand",B635)),ISNUMBER(SEARCH("autrichien",B635)),ISNUMBER(SEARCH("suisse",B635)),ISNUMBER(SEARCH("anglais",B635)),ISNUMBER(SEARCH("britannique",B635)),ISNUMBER(SEARCH("écossais",B635)),ISNUMBER(SEARCH("irlandais",B635)),ISNUMBER(SEARCH("russe",B635)),ISNUMBER(SEARCH("portugais",B635)),ISNUMBER(SEARCH("danois",B635)),ISNUMBER(SEARCH("norvégien",B635)),ISNUMBER(SEARCH("suédois",B635)),ISNUMBER(SEARCH("finlandais",B635)),ISNUMBER(SEARCH("polonais",B635)),ISNUMBER(SEARCH("tchèque",B635)),ISNUMBER(SEARCH("hongrois",B635)),ISNUMBER(SEARCH("grec",B635)),ISNUMBER(SEARCH("byzantin",B635)),ISNUMBER(SEARCH("croate",B635)),ISNUMBER(SEARCH("ukrainien",B635)),ISNUMBER(SEARCH("bulgare",B635)),ISNUMBER(SEARCH("biélorusse",B635)),ISNUMBER(SEARCH("maltais",B635))),"Autres pays d'Europe",IF(OR(ISNUMBER(SEARCH("américain",B635)),ISNUMBER(SEARCH("mexicain",B635)),ISNUMBER(SEARCH("canadien",B635)),ISNUMBER(SEARCH("brésilien",B635)),ISNUMBER(SEARCH("argentin",B635))),"Amérique",IF(OR(ISNUMBER(SEARCH("chinois",B635)),ISNUMBER(SEARCH("japonais",B635)),ISNUMBER(SEARCH("coréen",B635)),ISNUMBER(SEARCH("indien",B635)),ISNUMBER(SEARCH("persan",B635)),ISNUMBER(SEARCH("iranien",B635))),"Asie","(non classée)"))))</f>
        <v/>
      </c>
    </row>
    <row r="636">
      <c r="A636" s="2" t="inlineStr">
        <is>
          <t>PIET MONDRIAN</t>
        </is>
      </c>
      <c r="B636" s="2" t="inlineStr">
        <is>
          <t>hollandaise (Pays-Bas)</t>
        </is>
      </c>
      <c r="C636" s="2" t="inlineStr">
        <is>
          <t>peinture</t>
        </is>
      </c>
      <c r="D636" s="2" t="inlineStr">
        <is>
          <t>20e</t>
        </is>
      </c>
      <c r="U636">
        <f>IF(ISNUMBER(SEARCH("fran",B636)),"France",IF(OR(ISNUMBER(SEARCH("italien",B636)),ISNUMBER(SEARCH("espagn",B636)),ISNUMBER(SEARCH("catalan",B636)),ISNUMBER(SEARCH("flamand",B636)),ISNUMBER(SEARCH("belge",B636)),ISNUMBER(SEARCH("hollandais",B636)),ISNUMBER(SEARCH("néerlandais",B636)),ISNUMBER(SEARCH("allemand",B636)),ISNUMBER(SEARCH("autrichien",B636)),ISNUMBER(SEARCH("suisse",B636)),ISNUMBER(SEARCH("anglais",B636)),ISNUMBER(SEARCH("britannique",B636)),ISNUMBER(SEARCH("écossais",B636)),ISNUMBER(SEARCH("irlandais",B636)),ISNUMBER(SEARCH("russe",B636)),ISNUMBER(SEARCH("portugais",B636)),ISNUMBER(SEARCH("danois",B636)),ISNUMBER(SEARCH("norvégien",B636)),ISNUMBER(SEARCH("suédois",B636)),ISNUMBER(SEARCH("finlandais",B636)),ISNUMBER(SEARCH("polonais",B636)),ISNUMBER(SEARCH("tchèque",B636)),ISNUMBER(SEARCH("hongrois",B636)),ISNUMBER(SEARCH("grec",B636)),ISNUMBER(SEARCH("byzantin",B636)),ISNUMBER(SEARCH("croate",B636)),ISNUMBER(SEARCH("ukrainien",B636)),ISNUMBER(SEARCH("bulgare",B636)),ISNUMBER(SEARCH("biélorusse",B636)),ISNUMBER(SEARCH("maltais",B636))),"Autres pays d'Europe",IF(OR(ISNUMBER(SEARCH("américain",B636)),ISNUMBER(SEARCH("mexicain",B636)),ISNUMBER(SEARCH("canadien",B636)),ISNUMBER(SEARCH("brésilien",B636)),ISNUMBER(SEARCH("argentin",B636))),"Amérique",IF(OR(ISNUMBER(SEARCH("chinois",B636)),ISNUMBER(SEARCH("japonais",B636)),ISNUMBER(SEARCH("coréen",B636)),ISNUMBER(SEARCH("indien",B636)),ISNUMBER(SEARCH("persan",B636)),ISNUMBER(SEARCH("iranien",B636))),"Asie","(non classée)"))))</f>
        <v/>
      </c>
    </row>
    <row r="637">
      <c r="A637" s="2" t="inlineStr">
        <is>
          <t>PIETER AERTSEN</t>
        </is>
      </c>
      <c r="B637" s="2" t="inlineStr">
        <is>
          <t>hollandaise (Pays-Bas)</t>
        </is>
      </c>
      <c r="C637" s="2" t="inlineStr">
        <is>
          <t>peinture</t>
        </is>
      </c>
      <c r="D637" s="2" t="inlineStr">
        <is>
          <t>16e</t>
        </is>
      </c>
      <c r="U637">
        <f>IF(ISNUMBER(SEARCH("fran",B637)),"France",IF(OR(ISNUMBER(SEARCH("italien",B637)),ISNUMBER(SEARCH("espagn",B637)),ISNUMBER(SEARCH("catalan",B637)),ISNUMBER(SEARCH("flamand",B637)),ISNUMBER(SEARCH("belge",B637)),ISNUMBER(SEARCH("hollandais",B637)),ISNUMBER(SEARCH("néerlandais",B637)),ISNUMBER(SEARCH("allemand",B637)),ISNUMBER(SEARCH("autrichien",B637)),ISNUMBER(SEARCH("suisse",B637)),ISNUMBER(SEARCH("anglais",B637)),ISNUMBER(SEARCH("britannique",B637)),ISNUMBER(SEARCH("écossais",B637)),ISNUMBER(SEARCH("irlandais",B637)),ISNUMBER(SEARCH("russe",B637)),ISNUMBER(SEARCH("portugais",B637)),ISNUMBER(SEARCH("danois",B637)),ISNUMBER(SEARCH("norvégien",B637)),ISNUMBER(SEARCH("suédois",B637)),ISNUMBER(SEARCH("finlandais",B637)),ISNUMBER(SEARCH("polonais",B637)),ISNUMBER(SEARCH("tchèque",B637)),ISNUMBER(SEARCH("hongrois",B637)),ISNUMBER(SEARCH("grec",B637)),ISNUMBER(SEARCH("byzantin",B637)),ISNUMBER(SEARCH("croate",B637)),ISNUMBER(SEARCH("ukrainien",B637)),ISNUMBER(SEARCH("bulgare",B637)),ISNUMBER(SEARCH("biélorusse",B637)),ISNUMBER(SEARCH("maltais",B637))),"Autres pays d'Europe",IF(OR(ISNUMBER(SEARCH("américain",B637)),ISNUMBER(SEARCH("mexicain",B637)),ISNUMBER(SEARCH("canadien",B637)),ISNUMBER(SEARCH("brésilien",B637)),ISNUMBER(SEARCH("argentin",B637))),"Amérique",IF(OR(ISNUMBER(SEARCH("chinois",B637)),ISNUMBER(SEARCH("japonais",B637)),ISNUMBER(SEARCH("coréen",B637)),ISNUMBER(SEARCH("indien",B637)),ISNUMBER(SEARCH("persan",B637)),ISNUMBER(SEARCH("iranien",B637))),"Asie","(non classée)"))))</f>
        <v/>
      </c>
    </row>
    <row r="638">
      <c r="A638" s="2" t="inlineStr">
        <is>
          <t>PIETER BRUEGEL L'ANCIEN</t>
        </is>
      </c>
      <c r="B638" s="2" t="inlineStr">
        <is>
          <t>flamande (Belgique)</t>
        </is>
      </c>
      <c r="C638" s="2" t="inlineStr">
        <is>
          <t>peinture</t>
        </is>
      </c>
      <c r="D638" s="2" t="inlineStr">
        <is>
          <t>16e</t>
        </is>
      </c>
      <c r="U638">
        <f>IF(ISNUMBER(SEARCH("fran",B638)),"France",IF(OR(ISNUMBER(SEARCH("italien",B638)),ISNUMBER(SEARCH("espagn",B638)),ISNUMBER(SEARCH("catalan",B638)),ISNUMBER(SEARCH("flamand",B638)),ISNUMBER(SEARCH("belge",B638)),ISNUMBER(SEARCH("hollandais",B638)),ISNUMBER(SEARCH("néerlandais",B638)),ISNUMBER(SEARCH("allemand",B638)),ISNUMBER(SEARCH("autrichien",B638)),ISNUMBER(SEARCH("suisse",B638)),ISNUMBER(SEARCH("anglais",B638)),ISNUMBER(SEARCH("britannique",B638)),ISNUMBER(SEARCH("écossais",B638)),ISNUMBER(SEARCH("irlandais",B638)),ISNUMBER(SEARCH("russe",B638)),ISNUMBER(SEARCH("portugais",B638)),ISNUMBER(SEARCH("danois",B638)),ISNUMBER(SEARCH("norvégien",B638)),ISNUMBER(SEARCH("suédois",B638)),ISNUMBER(SEARCH("finlandais",B638)),ISNUMBER(SEARCH("polonais",B638)),ISNUMBER(SEARCH("tchèque",B638)),ISNUMBER(SEARCH("hongrois",B638)),ISNUMBER(SEARCH("grec",B638)),ISNUMBER(SEARCH("byzantin",B638)),ISNUMBER(SEARCH("croate",B638)),ISNUMBER(SEARCH("ukrainien",B638)),ISNUMBER(SEARCH("bulgare",B638)),ISNUMBER(SEARCH("biélorusse",B638)),ISNUMBER(SEARCH("maltais",B638))),"Autres pays d'Europe",IF(OR(ISNUMBER(SEARCH("américain",B638)),ISNUMBER(SEARCH("mexicain",B638)),ISNUMBER(SEARCH("canadien",B638)),ISNUMBER(SEARCH("brésilien",B638)),ISNUMBER(SEARCH("argentin",B638))),"Amérique",IF(OR(ISNUMBER(SEARCH("chinois",B638)),ISNUMBER(SEARCH("japonais",B638)),ISNUMBER(SEARCH("coréen",B638)),ISNUMBER(SEARCH("indien",B638)),ISNUMBER(SEARCH("persan",B638)),ISNUMBER(SEARCH("iranien",B638))),"Asie","(non classée)"))))</f>
        <v/>
      </c>
    </row>
    <row r="639">
      <c r="A639" s="2" t="inlineStr">
        <is>
          <t>PIETER CLAESZ</t>
        </is>
      </c>
      <c r="B639" s="2" t="inlineStr">
        <is>
          <t>hollandaise (Pays-Bas)</t>
        </is>
      </c>
      <c r="C639" s="2" t="inlineStr">
        <is>
          <t>peinture</t>
        </is>
      </c>
      <c r="D639" s="2" t="inlineStr">
        <is>
          <t>17e</t>
        </is>
      </c>
      <c r="U639">
        <f>IF(ISNUMBER(SEARCH("fran",B639)),"France",IF(OR(ISNUMBER(SEARCH("italien",B639)),ISNUMBER(SEARCH("espagn",B639)),ISNUMBER(SEARCH("catalan",B639)),ISNUMBER(SEARCH("flamand",B639)),ISNUMBER(SEARCH("belge",B639)),ISNUMBER(SEARCH("hollandais",B639)),ISNUMBER(SEARCH("néerlandais",B639)),ISNUMBER(SEARCH("allemand",B639)),ISNUMBER(SEARCH("autrichien",B639)),ISNUMBER(SEARCH("suisse",B639)),ISNUMBER(SEARCH("anglais",B639)),ISNUMBER(SEARCH("britannique",B639)),ISNUMBER(SEARCH("écossais",B639)),ISNUMBER(SEARCH("irlandais",B639)),ISNUMBER(SEARCH("russe",B639)),ISNUMBER(SEARCH("portugais",B639)),ISNUMBER(SEARCH("danois",B639)),ISNUMBER(SEARCH("norvégien",B639)),ISNUMBER(SEARCH("suédois",B639)),ISNUMBER(SEARCH("finlandais",B639)),ISNUMBER(SEARCH("polonais",B639)),ISNUMBER(SEARCH("tchèque",B639)),ISNUMBER(SEARCH("hongrois",B639)),ISNUMBER(SEARCH("grec",B639)),ISNUMBER(SEARCH("byzantin",B639)),ISNUMBER(SEARCH("croate",B639)),ISNUMBER(SEARCH("ukrainien",B639)),ISNUMBER(SEARCH("bulgare",B639)),ISNUMBER(SEARCH("biélorusse",B639)),ISNUMBER(SEARCH("maltais",B639))),"Autres pays d'Europe",IF(OR(ISNUMBER(SEARCH("américain",B639)),ISNUMBER(SEARCH("mexicain",B639)),ISNUMBER(SEARCH("canadien",B639)),ISNUMBER(SEARCH("brésilien",B639)),ISNUMBER(SEARCH("argentin",B639))),"Amérique",IF(OR(ISNUMBER(SEARCH("chinois",B639)),ISNUMBER(SEARCH("japonais",B639)),ISNUMBER(SEARCH("coréen",B639)),ISNUMBER(SEARCH("indien",B639)),ISNUMBER(SEARCH("persan",B639)),ISNUMBER(SEARCH("iranien",B639))),"Asie","(non classée)"))))</f>
        <v/>
      </c>
    </row>
    <row r="640">
      <c r="A640" s="2" t="inlineStr">
        <is>
          <t>PIETER DE HOOCH</t>
        </is>
      </c>
      <c r="B640" s="2" t="inlineStr">
        <is>
          <t>hollandaise (Pays-Bas)</t>
        </is>
      </c>
      <c r="C640" s="2" t="inlineStr">
        <is>
          <t>peinture</t>
        </is>
      </c>
      <c r="D640" s="2" t="inlineStr">
        <is>
          <t>17e</t>
        </is>
      </c>
      <c r="U640">
        <f>IF(ISNUMBER(SEARCH("fran",B640)),"France",IF(OR(ISNUMBER(SEARCH("italien",B640)),ISNUMBER(SEARCH("espagn",B640)),ISNUMBER(SEARCH("catalan",B640)),ISNUMBER(SEARCH("flamand",B640)),ISNUMBER(SEARCH("belge",B640)),ISNUMBER(SEARCH("hollandais",B640)),ISNUMBER(SEARCH("néerlandais",B640)),ISNUMBER(SEARCH("allemand",B640)),ISNUMBER(SEARCH("autrichien",B640)),ISNUMBER(SEARCH("suisse",B640)),ISNUMBER(SEARCH("anglais",B640)),ISNUMBER(SEARCH("britannique",B640)),ISNUMBER(SEARCH("écossais",B640)),ISNUMBER(SEARCH("irlandais",B640)),ISNUMBER(SEARCH("russe",B640)),ISNUMBER(SEARCH("portugais",B640)),ISNUMBER(SEARCH("danois",B640)),ISNUMBER(SEARCH("norvégien",B640)),ISNUMBER(SEARCH("suédois",B640)),ISNUMBER(SEARCH("finlandais",B640)),ISNUMBER(SEARCH("polonais",B640)),ISNUMBER(SEARCH("tchèque",B640)),ISNUMBER(SEARCH("hongrois",B640)),ISNUMBER(SEARCH("grec",B640)),ISNUMBER(SEARCH("byzantin",B640)),ISNUMBER(SEARCH("croate",B640)),ISNUMBER(SEARCH("ukrainien",B640)),ISNUMBER(SEARCH("bulgare",B640)),ISNUMBER(SEARCH("biélorusse",B640)),ISNUMBER(SEARCH("maltais",B640))),"Autres pays d'Europe",IF(OR(ISNUMBER(SEARCH("américain",B640)),ISNUMBER(SEARCH("mexicain",B640)),ISNUMBER(SEARCH("canadien",B640)),ISNUMBER(SEARCH("brésilien",B640)),ISNUMBER(SEARCH("argentin",B640))),"Amérique",IF(OR(ISNUMBER(SEARCH("chinois",B640)),ISNUMBER(SEARCH("japonais",B640)),ISNUMBER(SEARCH("coréen",B640)),ISNUMBER(SEARCH("indien",B640)),ISNUMBER(SEARCH("persan",B640)),ISNUMBER(SEARCH("iranien",B640))),"Asie","(non classée)"))))</f>
        <v/>
      </c>
    </row>
    <row r="641">
      <c r="A641" s="2" t="inlineStr">
        <is>
          <t>PIETRO BERNINI</t>
        </is>
      </c>
      <c r="B641" s="2" t="inlineStr">
        <is>
          <t>italienne</t>
        </is>
      </c>
      <c r="C641" s="2" t="inlineStr">
        <is>
          <t>sculpture</t>
        </is>
      </c>
      <c r="D641" s="2" t="inlineStr">
        <is>
          <t>17e</t>
        </is>
      </c>
      <c r="U641">
        <f>IF(ISNUMBER(SEARCH("fran",B641)),"France",IF(OR(ISNUMBER(SEARCH("italien",B641)),ISNUMBER(SEARCH("espagn",B641)),ISNUMBER(SEARCH("catalan",B641)),ISNUMBER(SEARCH("flamand",B641)),ISNUMBER(SEARCH("belge",B641)),ISNUMBER(SEARCH("hollandais",B641)),ISNUMBER(SEARCH("néerlandais",B641)),ISNUMBER(SEARCH("allemand",B641)),ISNUMBER(SEARCH("autrichien",B641)),ISNUMBER(SEARCH("suisse",B641)),ISNUMBER(SEARCH("anglais",B641)),ISNUMBER(SEARCH("britannique",B641)),ISNUMBER(SEARCH("écossais",B641)),ISNUMBER(SEARCH("irlandais",B641)),ISNUMBER(SEARCH("russe",B641)),ISNUMBER(SEARCH("portugais",B641)),ISNUMBER(SEARCH("danois",B641)),ISNUMBER(SEARCH("norvégien",B641)),ISNUMBER(SEARCH("suédois",B641)),ISNUMBER(SEARCH("finlandais",B641)),ISNUMBER(SEARCH("polonais",B641)),ISNUMBER(SEARCH("tchèque",B641)),ISNUMBER(SEARCH("hongrois",B641)),ISNUMBER(SEARCH("grec",B641)),ISNUMBER(SEARCH("byzantin",B641)),ISNUMBER(SEARCH("croate",B641)),ISNUMBER(SEARCH("ukrainien",B641)),ISNUMBER(SEARCH("bulgare",B641)),ISNUMBER(SEARCH("biélorusse",B641)),ISNUMBER(SEARCH("maltais",B641))),"Autres pays d'Europe",IF(OR(ISNUMBER(SEARCH("américain",B641)),ISNUMBER(SEARCH("mexicain",B641)),ISNUMBER(SEARCH("canadien",B641)),ISNUMBER(SEARCH("brésilien",B641)),ISNUMBER(SEARCH("argentin",B641))),"Amérique",IF(OR(ISNUMBER(SEARCH("chinois",B641)),ISNUMBER(SEARCH("japonais",B641)),ISNUMBER(SEARCH("coréen",B641)),ISNUMBER(SEARCH("indien",B641)),ISNUMBER(SEARCH("persan",B641)),ISNUMBER(SEARCH("iranien",B641))),"Asie","(non classée)"))))</f>
        <v/>
      </c>
    </row>
    <row r="642">
      <c r="A642" s="2" t="inlineStr">
        <is>
          <t>PIETRO CAVALLINI</t>
        </is>
      </c>
      <c r="B642" s="2" t="inlineStr">
        <is>
          <t>italienne</t>
        </is>
      </c>
      <c r="C642" s="2" t="inlineStr">
        <is>
          <t>peinture</t>
        </is>
      </c>
      <c r="D642" s="2" t="inlineStr">
        <is>
          <t>14e</t>
        </is>
      </c>
      <c r="U642">
        <f>IF(ISNUMBER(SEARCH("fran",B642)),"France",IF(OR(ISNUMBER(SEARCH("italien",B642)),ISNUMBER(SEARCH("espagn",B642)),ISNUMBER(SEARCH("catalan",B642)),ISNUMBER(SEARCH("flamand",B642)),ISNUMBER(SEARCH("belge",B642)),ISNUMBER(SEARCH("hollandais",B642)),ISNUMBER(SEARCH("néerlandais",B642)),ISNUMBER(SEARCH("allemand",B642)),ISNUMBER(SEARCH("autrichien",B642)),ISNUMBER(SEARCH("suisse",B642)),ISNUMBER(SEARCH("anglais",B642)),ISNUMBER(SEARCH("britannique",B642)),ISNUMBER(SEARCH("écossais",B642)),ISNUMBER(SEARCH("irlandais",B642)),ISNUMBER(SEARCH("russe",B642)),ISNUMBER(SEARCH("portugais",B642)),ISNUMBER(SEARCH("danois",B642)),ISNUMBER(SEARCH("norvégien",B642)),ISNUMBER(SEARCH("suédois",B642)),ISNUMBER(SEARCH("finlandais",B642)),ISNUMBER(SEARCH("polonais",B642)),ISNUMBER(SEARCH("tchèque",B642)),ISNUMBER(SEARCH("hongrois",B642)),ISNUMBER(SEARCH("grec",B642)),ISNUMBER(SEARCH("byzantin",B642)),ISNUMBER(SEARCH("croate",B642)),ISNUMBER(SEARCH("ukrainien",B642)),ISNUMBER(SEARCH("bulgare",B642)),ISNUMBER(SEARCH("biélorusse",B642)),ISNUMBER(SEARCH("maltais",B642))),"Autres pays d'Europe",IF(OR(ISNUMBER(SEARCH("américain",B642)),ISNUMBER(SEARCH("mexicain",B642)),ISNUMBER(SEARCH("canadien",B642)),ISNUMBER(SEARCH("brésilien",B642)),ISNUMBER(SEARCH("argentin",B642))),"Amérique",IF(OR(ISNUMBER(SEARCH("chinois",B642)),ISNUMBER(SEARCH("japonais",B642)),ISNUMBER(SEARCH("coréen",B642)),ISNUMBER(SEARCH("indien",B642)),ISNUMBER(SEARCH("persan",B642)),ISNUMBER(SEARCH("iranien",B642))),"Asie","(non classée)"))))</f>
        <v/>
      </c>
    </row>
    <row r="643">
      <c r="A643" s="2" t="inlineStr">
        <is>
          <t>PIETRO LOMBARDO</t>
        </is>
      </c>
      <c r="B643" s="2" t="inlineStr">
        <is>
          <t>italienne</t>
        </is>
      </c>
      <c r="C643" s="2" t="inlineStr">
        <is>
          <t>sculpture</t>
        </is>
      </c>
      <c r="D643" s="2" t="inlineStr">
        <is>
          <t>15e</t>
        </is>
      </c>
      <c r="U643">
        <f>IF(ISNUMBER(SEARCH("fran",B643)),"France",IF(OR(ISNUMBER(SEARCH("italien",B643)),ISNUMBER(SEARCH("espagn",B643)),ISNUMBER(SEARCH("catalan",B643)),ISNUMBER(SEARCH("flamand",B643)),ISNUMBER(SEARCH("belge",B643)),ISNUMBER(SEARCH("hollandais",B643)),ISNUMBER(SEARCH("néerlandais",B643)),ISNUMBER(SEARCH("allemand",B643)),ISNUMBER(SEARCH("autrichien",B643)),ISNUMBER(SEARCH("suisse",B643)),ISNUMBER(SEARCH("anglais",B643)),ISNUMBER(SEARCH("britannique",B643)),ISNUMBER(SEARCH("écossais",B643)),ISNUMBER(SEARCH("irlandais",B643)),ISNUMBER(SEARCH("russe",B643)),ISNUMBER(SEARCH("portugais",B643)),ISNUMBER(SEARCH("danois",B643)),ISNUMBER(SEARCH("norvégien",B643)),ISNUMBER(SEARCH("suédois",B643)),ISNUMBER(SEARCH("finlandais",B643)),ISNUMBER(SEARCH("polonais",B643)),ISNUMBER(SEARCH("tchèque",B643)),ISNUMBER(SEARCH("hongrois",B643)),ISNUMBER(SEARCH("grec",B643)),ISNUMBER(SEARCH("byzantin",B643)),ISNUMBER(SEARCH("croate",B643)),ISNUMBER(SEARCH("ukrainien",B643)),ISNUMBER(SEARCH("bulgare",B643)),ISNUMBER(SEARCH("biélorusse",B643)),ISNUMBER(SEARCH("maltais",B643))),"Autres pays d'Europe",IF(OR(ISNUMBER(SEARCH("américain",B643)),ISNUMBER(SEARCH("mexicain",B643)),ISNUMBER(SEARCH("canadien",B643)),ISNUMBER(SEARCH("brésilien",B643)),ISNUMBER(SEARCH("argentin",B643))),"Amérique",IF(OR(ISNUMBER(SEARCH("chinois",B643)),ISNUMBER(SEARCH("japonais",B643)),ISNUMBER(SEARCH("coréen",B643)),ISNUMBER(SEARCH("indien",B643)),ISNUMBER(SEARCH("persan",B643)),ISNUMBER(SEARCH("iranien",B643))),"Asie","(non classée)"))))</f>
        <v/>
      </c>
    </row>
    <row r="644">
      <c r="A644" s="2" t="inlineStr">
        <is>
          <t>PIETRO LONGHI</t>
        </is>
      </c>
      <c r="B644" s="2" t="inlineStr">
        <is>
          <t>italienne</t>
        </is>
      </c>
      <c r="C644" s="2" t="inlineStr">
        <is>
          <t>peinture</t>
        </is>
      </c>
      <c r="D644" s="2" t="inlineStr">
        <is>
          <t>18e</t>
        </is>
      </c>
      <c r="U644">
        <f>IF(ISNUMBER(SEARCH("fran",B644)),"France",IF(OR(ISNUMBER(SEARCH("italien",B644)),ISNUMBER(SEARCH("espagn",B644)),ISNUMBER(SEARCH("catalan",B644)),ISNUMBER(SEARCH("flamand",B644)),ISNUMBER(SEARCH("belge",B644)),ISNUMBER(SEARCH("hollandais",B644)),ISNUMBER(SEARCH("néerlandais",B644)),ISNUMBER(SEARCH("allemand",B644)),ISNUMBER(SEARCH("autrichien",B644)),ISNUMBER(SEARCH("suisse",B644)),ISNUMBER(SEARCH("anglais",B644)),ISNUMBER(SEARCH("britannique",B644)),ISNUMBER(SEARCH("écossais",B644)),ISNUMBER(SEARCH("irlandais",B644)),ISNUMBER(SEARCH("russe",B644)),ISNUMBER(SEARCH("portugais",B644)),ISNUMBER(SEARCH("danois",B644)),ISNUMBER(SEARCH("norvégien",B644)),ISNUMBER(SEARCH("suédois",B644)),ISNUMBER(SEARCH("finlandais",B644)),ISNUMBER(SEARCH("polonais",B644)),ISNUMBER(SEARCH("tchèque",B644)),ISNUMBER(SEARCH("hongrois",B644)),ISNUMBER(SEARCH("grec",B644)),ISNUMBER(SEARCH("byzantin",B644)),ISNUMBER(SEARCH("croate",B644)),ISNUMBER(SEARCH("ukrainien",B644)),ISNUMBER(SEARCH("bulgare",B644)),ISNUMBER(SEARCH("biélorusse",B644)),ISNUMBER(SEARCH("maltais",B644))),"Autres pays d'Europe",IF(OR(ISNUMBER(SEARCH("américain",B644)),ISNUMBER(SEARCH("mexicain",B644)),ISNUMBER(SEARCH("canadien",B644)),ISNUMBER(SEARCH("brésilien",B644)),ISNUMBER(SEARCH("argentin",B644))),"Amérique",IF(OR(ISNUMBER(SEARCH("chinois",B644)),ISNUMBER(SEARCH("japonais",B644)),ISNUMBER(SEARCH("coréen",B644)),ISNUMBER(SEARCH("indien",B644)),ISNUMBER(SEARCH("persan",B644)),ISNUMBER(SEARCH("iranien",B644))),"Asie","(non classée)"))))</f>
        <v/>
      </c>
    </row>
    <row r="645">
      <c r="A645" s="2" t="inlineStr">
        <is>
          <t>PIETRO LORENZETTI</t>
        </is>
      </c>
      <c r="B645" s="2" t="inlineStr">
        <is>
          <t>italienne</t>
        </is>
      </c>
      <c r="C645" s="2" t="inlineStr">
        <is>
          <t>peinture</t>
        </is>
      </c>
      <c r="D645" s="2" t="inlineStr">
        <is>
          <t>14e</t>
        </is>
      </c>
      <c r="U645">
        <f>IF(ISNUMBER(SEARCH("fran",B645)),"France",IF(OR(ISNUMBER(SEARCH("italien",B645)),ISNUMBER(SEARCH("espagn",B645)),ISNUMBER(SEARCH("catalan",B645)),ISNUMBER(SEARCH("flamand",B645)),ISNUMBER(SEARCH("belge",B645)),ISNUMBER(SEARCH("hollandais",B645)),ISNUMBER(SEARCH("néerlandais",B645)),ISNUMBER(SEARCH("allemand",B645)),ISNUMBER(SEARCH("autrichien",B645)),ISNUMBER(SEARCH("suisse",B645)),ISNUMBER(SEARCH("anglais",B645)),ISNUMBER(SEARCH("britannique",B645)),ISNUMBER(SEARCH("écossais",B645)),ISNUMBER(SEARCH("irlandais",B645)),ISNUMBER(SEARCH("russe",B645)),ISNUMBER(SEARCH("portugais",B645)),ISNUMBER(SEARCH("danois",B645)),ISNUMBER(SEARCH("norvégien",B645)),ISNUMBER(SEARCH("suédois",B645)),ISNUMBER(SEARCH("finlandais",B645)),ISNUMBER(SEARCH("polonais",B645)),ISNUMBER(SEARCH("tchèque",B645)),ISNUMBER(SEARCH("hongrois",B645)),ISNUMBER(SEARCH("grec",B645)),ISNUMBER(SEARCH("byzantin",B645)),ISNUMBER(SEARCH("croate",B645)),ISNUMBER(SEARCH("ukrainien",B645)),ISNUMBER(SEARCH("bulgare",B645)),ISNUMBER(SEARCH("biélorusse",B645)),ISNUMBER(SEARCH("maltais",B645))),"Autres pays d'Europe",IF(OR(ISNUMBER(SEARCH("américain",B645)),ISNUMBER(SEARCH("mexicain",B645)),ISNUMBER(SEARCH("canadien",B645)),ISNUMBER(SEARCH("brésilien",B645)),ISNUMBER(SEARCH("argentin",B645))),"Amérique",IF(OR(ISNUMBER(SEARCH("chinois",B645)),ISNUMBER(SEARCH("japonais",B645)),ISNUMBER(SEARCH("coréen",B645)),ISNUMBER(SEARCH("indien",B645)),ISNUMBER(SEARCH("persan",B645)),ISNUMBER(SEARCH("iranien",B645))),"Asie","(non classée)"))))</f>
        <v/>
      </c>
    </row>
    <row r="646">
      <c r="A646" s="2" t="inlineStr">
        <is>
          <t>PIETRO PERUGINO</t>
        </is>
      </c>
      <c r="B646" s="2" t="inlineStr">
        <is>
          <t>italienne</t>
        </is>
      </c>
      <c r="C646" s="2" t="inlineStr">
        <is>
          <t>peinture</t>
        </is>
      </c>
      <c r="D646" s="2" t="inlineStr">
        <is>
          <t>15e</t>
        </is>
      </c>
      <c r="U646">
        <f>IF(ISNUMBER(SEARCH("fran",B646)),"France",IF(OR(ISNUMBER(SEARCH("italien",B646)),ISNUMBER(SEARCH("espagn",B646)),ISNUMBER(SEARCH("catalan",B646)),ISNUMBER(SEARCH("flamand",B646)),ISNUMBER(SEARCH("belge",B646)),ISNUMBER(SEARCH("hollandais",B646)),ISNUMBER(SEARCH("néerlandais",B646)),ISNUMBER(SEARCH("allemand",B646)),ISNUMBER(SEARCH("autrichien",B646)),ISNUMBER(SEARCH("suisse",B646)),ISNUMBER(SEARCH("anglais",B646)),ISNUMBER(SEARCH("britannique",B646)),ISNUMBER(SEARCH("écossais",B646)),ISNUMBER(SEARCH("irlandais",B646)),ISNUMBER(SEARCH("russe",B646)),ISNUMBER(SEARCH("portugais",B646)),ISNUMBER(SEARCH("danois",B646)),ISNUMBER(SEARCH("norvégien",B646)),ISNUMBER(SEARCH("suédois",B646)),ISNUMBER(SEARCH("finlandais",B646)),ISNUMBER(SEARCH("polonais",B646)),ISNUMBER(SEARCH("tchèque",B646)),ISNUMBER(SEARCH("hongrois",B646)),ISNUMBER(SEARCH("grec",B646)),ISNUMBER(SEARCH("byzantin",B646)),ISNUMBER(SEARCH("croate",B646)),ISNUMBER(SEARCH("ukrainien",B646)),ISNUMBER(SEARCH("bulgare",B646)),ISNUMBER(SEARCH("biélorusse",B646)),ISNUMBER(SEARCH("maltais",B646))),"Autres pays d'Europe",IF(OR(ISNUMBER(SEARCH("américain",B646)),ISNUMBER(SEARCH("mexicain",B646)),ISNUMBER(SEARCH("canadien",B646)),ISNUMBER(SEARCH("brésilien",B646)),ISNUMBER(SEARCH("argentin",B646))),"Amérique",IF(OR(ISNUMBER(SEARCH("chinois",B646)),ISNUMBER(SEARCH("japonais",B646)),ISNUMBER(SEARCH("coréen",B646)),ISNUMBER(SEARCH("indien",B646)),ISNUMBER(SEARCH("persan",B646)),ISNUMBER(SEARCH("iranien",B646))),"Asie","(non classée)"))))</f>
        <v/>
      </c>
    </row>
    <row r="647">
      <c r="A647" s="2" t="inlineStr">
        <is>
          <t>PIETRO TORRIGIANO</t>
        </is>
      </c>
      <c r="B647" s="2" t="inlineStr">
        <is>
          <t>italienne</t>
        </is>
      </c>
      <c r="C647" s="2" t="inlineStr">
        <is>
          <t>sculpture</t>
        </is>
      </c>
      <c r="D647" s="2" t="inlineStr">
        <is>
          <t>16e</t>
        </is>
      </c>
      <c r="U647">
        <f>IF(ISNUMBER(SEARCH("fran",B647)),"France",IF(OR(ISNUMBER(SEARCH("italien",B647)),ISNUMBER(SEARCH("espagn",B647)),ISNUMBER(SEARCH("catalan",B647)),ISNUMBER(SEARCH("flamand",B647)),ISNUMBER(SEARCH("belge",B647)),ISNUMBER(SEARCH("hollandais",B647)),ISNUMBER(SEARCH("néerlandais",B647)),ISNUMBER(SEARCH("allemand",B647)),ISNUMBER(SEARCH("autrichien",B647)),ISNUMBER(SEARCH("suisse",B647)),ISNUMBER(SEARCH("anglais",B647)),ISNUMBER(SEARCH("britannique",B647)),ISNUMBER(SEARCH("écossais",B647)),ISNUMBER(SEARCH("irlandais",B647)),ISNUMBER(SEARCH("russe",B647)),ISNUMBER(SEARCH("portugais",B647)),ISNUMBER(SEARCH("danois",B647)),ISNUMBER(SEARCH("norvégien",B647)),ISNUMBER(SEARCH("suédois",B647)),ISNUMBER(SEARCH("finlandais",B647)),ISNUMBER(SEARCH("polonais",B647)),ISNUMBER(SEARCH("tchèque",B647)),ISNUMBER(SEARCH("hongrois",B647)),ISNUMBER(SEARCH("grec",B647)),ISNUMBER(SEARCH("byzantin",B647)),ISNUMBER(SEARCH("croate",B647)),ISNUMBER(SEARCH("ukrainien",B647)),ISNUMBER(SEARCH("bulgare",B647)),ISNUMBER(SEARCH("biélorusse",B647)),ISNUMBER(SEARCH("maltais",B647))),"Autres pays d'Europe",IF(OR(ISNUMBER(SEARCH("américain",B647)),ISNUMBER(SEARCH("mexicain",B647)),ISNUMBER(SEARCH("canadien",B647)),ISNUMBER(SEARCH("brésilien",B647)),ISNUMBER(SEARCH("argentin",B647))),"Amérique",IF(OR(ISNUMBER(SEARCH("chinois",B647)),ISNUMBER(SEARCH("japonais",B647)),ISNUMBER(SEARCH("coréen",B647)),ISNUMBER(SEARCH("indien",B647)),ISNUMBER(SEARCH("persan",B647)),ISNUMBER(SEARCH("iranien",B647))),"Asie","(non classée)"))))</f>
        <v/>
      </c>
    </row>
    <row r="648">
      <c r="A648" s="2" t="inlineStr">
        <is>
          <t>PIETRO DA CORTONA</t>
        </is>
      </c>
      <c r="B648" s="2" t="inlineStr">
        <is>
          <t>italienne</t>
        </is>
      </c>
      <c r="C648" s="2" t="inlineStr">
        <is>
          <t>peinture</t>
        </is>
      </c>
      <c r="D648" s="2" t="inlineStr">
        <is>
          <t>17e</t>
        </is>
      </c>
      <c r="U648">
        <f>IF(ISNUMBER(SEARCH("fran",B648)),"France",IF(OR(ISNUMBER(SEARCH("italien",B648)),ISNUMBER(SEARCH("espagn",B648)),ISNUMBER(SEARCH("catalan",B648)),ISNUMBER(SEARCH("flamand",B648)),ISNUMBER(SEARCH("belge",B648)),ISNUMBER(SEARCH("hollandais",B648)),ISNUMBER(SEARCH("néerlandais",B648)),ISNUMBER(SEARCH("allemand",B648)),ISNUMBER(SEARCH("autrichien",B648)),ISNUMBER(SEARCH("suisse",B648)),ISNUMBER(SEARCH("anglais",B648)),ISNUMBER(SEARCH("britannique",B648)),ISNUMBER(SEARCH("écossais",B648)),ISNUMBER(SEARCH("irlandais",B648)),ISNUMBER(SEARCH("russe",B648)),ISNUMBER(SEARCH("portugais",B648)),ISNUMBER(SEARCH("danois",B648)),ISNUMBER(SEARCH("norvégien",B648)),ISNUMBER(SEARCH("suédois",B648)),ISNUMBER(SEARCH("finlandais",B648)),ISNUMBER(SEARCH("polonais",B648)),ISNUMBER(SEARCH("tchèque",B648)),ISNUMBER(SEARCH("hongrois",B648)),ISNUMBER(SEARCH("grec",B648)),ISNUMBER(SEARCH("byzantin",B648)),ISNUMBER(SEARCH("croate",B648)),ISNUMBER(SEARCH("ukrainien",B648)),ISNUMBER(SEARCH("bulgare",B648)),ISNUMBER(SEARCH("biélorusse",B648)),ISNUMBER(SEARCH("maltais",B648))),"Autres pays d'Europe",IF(OR(ISNUMBER(SEARCH("américain",B648)),ISNUMBER(SEARCH("mexicain",B648)),ISNUMBER(SEARCH("canadien",B648)),ISNUMBER(SEARCH("brésilien",B648)),ISNUMBER(SEARCH("argentin",B648))),"Amérique",IF(OR(ISNUMBER(SEARCH("chinois",B648)),ISNUMBER(SEARCH("japonais",B648)),ISNUMBER(SEARCH("coréen",B648)),ISNUMBER(SEARCH("indien",B648)),ISNUMBER(SEARCH("persan",B648)),ISNUMBER(SEARCH("iranien",B648))),"Asie","(non classée)"))))</f>
        <v/>
      </c>
    </row>
    <row r="649">
      <c r="A649" s="2" t="inlineStr">
        <is>
          <t>PIO FEDI</t>
        </is>
      </c>
      <c r="B649" s="2" t="inlineStr">
        <is>
          <t>italienne</t>
        </is>
      </c>
      <c r="C649" s="2" t="inlineStr">
        <is>
          <t>sculpture</t>
        </is>
      </c>
      <c r="D649" s="2" t="inlineStr">
        <is>
          <t>19e</t>
        </is>
      </c>
      <c r="U649">
        <f>IF(ISNUMBER(SEARCH("fran",B649)),"France",IF(OR(ISNUMBER(SEARCH("italien",B649)),ISNUMBER(SEARCH("espagn",B649)),ISNUMBER(SEARCH("catalan",B649)),ISNUMBER(SEARCH("flamand",B649)),ISNUMBER(SEARCH("belge",B649)),ISNUMBER(SEARCH("hollandais",B649)),ISNUMBER(SEARCH("néerlandais",B649)),ISNUMBER(SEARCH("allemand",B649)),ISNUMBER(SEARCH("autrichien",B649)),ISNUMBER(SEARCH("suisse",B649)),ISNUMBER(SEARCH("anglais",B649)),ISNUMBER(SEARCH("britannique",B649)),ISNUMBER(SEARCH("écossais",B649)),ISNUMBER(SEARCH("irlandais",B649)),ISNUMBER(SEARCH("russe",B649)),ISNUMBER(SEARCH("portugais",B649)),ISNUMBER(SEARCH("danois",B649)),ISNUMBER(SEARCH("norvégien",B649)),ISNUMBER(SEARCH("suédois",B649)),ISNUMBER(SEARCH("finlandais",B649)),ISNUMBER(SEARCH("polonais",B649)),ISNUMBER(SEARCH("tchèque",B649)),ISNUMBER(SEARCH("hongrois",B649)),ISNUMBER(SEARCH("grec",B649)),ISNUMBER(SEARCH("byzantin",B649)),ISNUMBER(SEARCH("croate",B649)),ISNUMBER(SEARCH("ukrainien",B649)),ISNUMBER(SEARCH("bulgare",B649)),ISNUMBER(SEARCH("biélorusse",B649)),ISNUMBER(SEARCH("maltais",B649))),"Autres pays d'Europe",IF(OR(ISNUMBER(SEARCH("américain",B649)),ISNUMBER(SEARCH("mexicain",B649)),ISNUMBER(SEARCH("canadien",B649)),ISNUMBER(SEARCH("brésilien",B649)),ISNUMBER(SEARCH("argentin",B649))),"Amérique",IF(OR(ISNUMBER(SEARCH("chinois",B649)),ISNUMBER(SEARCH("japonais",B649)),ISNUMBER(SEARCH("coréen",B649)),ISNUMBER(SEARCH("indien",B649)),ISNUMBER(SEARCH("persan",B649)),ISNUMBER(SEARCH("iranien",B649))),"Asie","(non classée)"))))</f>
        <v/>
      </c>
    </row>
    <row r="650">
      <c r="A650" s="2" t="inlineStr">
        <is>
          <t>POMPEO BATONI</t>
        </is>
      </c>
      <c r="B650" s="2" t="inlineStr">
        <is>
          <t>italienne</t>
        </is>
      </c>
      <c r="C650" s="2" t="inlineStr">
        <is>
          <t>peinture</t>
        </is>
      </c>
      <c r="D650" s="2" t="inlineStr">
        <is>
          <t>18e</t>
        </is>
      </c>
      <c r="U650">
        <f>IF(ISNUMBER(SEARCH("fran",B650)),"France",IF(OR(ISNUMBER(SEARCH("italien",B650)),ISNUMBER(SEARCH("espagn",B650)),ISNUMBER(SEARCH("catalan",B650)),ISNUMBER(SEARCH("flamand",B650)),ISNUMBER(SEARCH("belge",B650)),ISNUMBER(SEARCH("hollandais",B650)),ISNUMBER(SEARCH("néerlandais",B650)),ISNUMBER(SEARCH("allemand",B650)),ISNUMBER(SEARCH("autrichien",B650)),ISNUMBER(SEARCH("suisse",B650)),ISNUMBER(SEARCH("anglais",B650)),ISNUMBER(SEARCH("britannique",B650)),ISNUMBER(SEARCH("écossais",B650)),ISNUMBER(SEARCH("irlandais",B650)),ISNUMBER(SEARCH("russe",B650)),ISNUMBER(SEARCH("portugais",B650)),ISNUMBER(SEARCH("danois",B650)),ISNUMBER(SEARCH("norvégien",B650)),ISNUMBER(SEARCH("suédois",B650)),ISNUMBER(SEARCH("finlandais",B650)),ISNUMBER(SEARCH("polonais",B650)),ISNUMBER(SEARCH("tchèque",B650)),ISNUMBER(SEARCH("hongrois",B650)),ISNUMBER(SEARCH("grec",B650)),ISNUMBER(SEARCH("byzantin",B650)),ISNUMBER(SEARCH("croate",B650)),ISNUMBER(SEARCH("ukrainien",B650)),ISNUMBER(SEARCH("bulgare",B650)),ISNUMBER(SEARCH("biélorusse",B650)),ISNUMBER(SEARCH("maltais",B650))),"Autres pays d'Europe",IF(OR(ISNUMBER(SEARCH("américain",B650)),ISNUMBER(SEARCH("mexicain",B650)),ISNUMBER(SEARCH("canadien",B650)),ISNUMBER(SEARCH("brésilien",B650)),ISNUMBER(SEARCH("argentin",B650))),"Amérique",IF(OR(ISNUMBER(SEARCH("chinois",B650)),ISNUMBER(SEARCH("japonais",B650)),ISNUMBER(SEARCH("coréen",B650)),ISNUMBER(SEARCH("indien",B650)),ISNUMBER(SEARCH("persan",B650)),ISNUMBER(SEARCH("iranien",B650))),"Asie","(non classée)"))))</f>
        <v/>
      </c>
    </row>
    <row r="651">
      <c r="A651" s="2" t="inlineStr">
        <is>
          <t>POMPEO LEONI</t>
        </is>
      </c>
      <c r="B651" s="2" t="inlineStr">
        <is>
          <t>italienne</t>
        </is>
      </c>
      <c r="C651" s="2" t="inlineStr">
        <is>
          <t>sculpture</t>
        </is>
      </c>
      <c r="D651" s="2" t="inlineStr">
        <is>
          <t>16e</t>
        </is>
      </c>
      <c r="U651">
        <f>IF(ISNUMBER(SEARCH("fran",B651)),"France",IF(OR(ISNUMBER(SEARCH("italien",B651)),ISNUMBER(SEARCH("espagn",B651)),ISNUMBER(SEARCH("catalan",B651)),ISNUMBER(SEARCH("flamand",B651)),ISNUMBER(SEARCH("belge",B651)),ISNUMBER(SEARCH("hollandais",B651)),ISNUMBER(SEARCH("néerlandais",B651)),ISNUMBER(SEARCH("allemand",B651)),ISNUMBER(SEARCH("autrichien",B651)),ISNUMBER(SEARCH("suisse",B651)),ISNUMBER(SEARCH("anglais",B651)),ISNUMBER(SEARCH("britannique",B651)),ISNUMBER(SEARCH("écossais",B651)),ISNUMBER(SEARCH("irlandais",B651)),ISNUMBER(SEARCH("russe",B651)),ISNUMBER(SEARCH("portugais",B651)),ISNUMBER(SEARCH("danois",B651)),ISNUMBER(SEARCH("norvégien",B651)),ISNUMBER(SEARCH("suédois",B651)),ISNUMBER(SEARCH("finlandais",B651)),ISNUMBER(SEARCH("polonais",B651)),ISNUMBER(SEARCH("tchèque",B651)),ISNUMBER(SEARCH("hongrois",B651)),ISNUMBER(SEARCH("grec",B651)),ISNUMBER(SEARCH("byzantin",B651)),ISNUMBER(SEARCH("croate",B651)),ISNUMBER(SEARCH("ukrainien",B651)),ISNUMBER(SEARCH("bulgare",B651)),ISNUMBER(SEARCH("biélorusse",B651)),ISNUMBER(SEARCH("maltais",B651))),"Autres pays d'Europe",IF(OR(ISNUMBER(SEARCH("américain",B651)),ISNUMBER(SEARCH("mexicain",B651)),ISNUMBER(SEARCH("canadien",B651)),ISNUMBER(SEARCH("brésilien",B651)),ISNUMBER(SEARCH("argentin",B651))),"Amérique",IF(OR(ISNUMBER(SEARCH("chinois",B651)),ISNUMBER(SEARCH("japonais",B651)),ISNUMBER(SEARCH("coréen",B651)),ISNUMBER(SEARCH("indien",B651)),ISNUMBER(SEARCH("persan",B651)),ISNUMBER(SEARCH("iranien",B651))),"Asie","(non classée)"))))</f>
        <v/>
      </c>
    </row>
    <row r="652">
      <c r="A652" s="2" t="inlineStr">
        <is>
          <t>PONCE JACQUIOT</t>
        </is>
      </c>
      <c r="B652" s="2" t="inlineStr">
        <is>
          <t>française</t>
        </is>
      </c>
      <c r="C652" s="2" t="inlineStr">
        <is>
          <t>sculpture</t>
        </is>
      </c>
      <c r="D652" s="2" t="inlineStr">
        <is>
          <t>16e</t>
        </is>
      </c>
      <c r="U652">
        <f>IF(ISNUMBER(SEARCH("fran",B652)),"France",IF(OR(ISNUMBER(SEARCH("italien",B652)),ISNUMBER(SEARCH("espagn",B652)),ISNUMBER(SEARCH("catalan",B652)),ISNUMBER(SEARCH("flamand",B652)),ISNUMBER(SEARCH("belge",B652)),ISNUMBER(SEARCH("hollandais",B652)),ISNUMBER(SEARCH("néerlandais",B652)),ISNUMBER(SEARCH("allemand",B652)),ISNUMBER(SEARCH("autrichien",B652)),ISNUMBER(SEARCH("suisse",B652)),ISNUMBER(SEARCH("anglais",B652)),ISNUMBER(SEARCH("britannique",B652)),ISNUMBER(SEARCH("écossais",B652)),ISNUMBER(SEARCH("irlandais",B652)),ISNUMBER(SEARCH("russe",B652)),ISNUMBER(SEARCH("portugais",B652)),ISNUMBER(SEARCH("danois",B652)),ISNUMBER(SEARCH("norvégien",B652)),ISNUMBER(SEARCH("suédois",B652)),ISNUMBER(SEARCH("finlandais",B652)),ISNUMBER(SEARCH("polonais",B652)),ISNUMBER(SEARCH("tchèque",B652)),ISNUMBER(SEARCH("hongrois",B652)),ISNUMBER(SEARCH("grec",B652)),ISNUMBER(SEARCH("byzantin",B652)),ISNUMBER(SEARCH("croate",B652)),ISNUMBER(SEARCH("ukrainien",B652)),ISNUMBER(SEARCH("bulgare",B652)),ISNUMBER(SEARCH("biélorusse",B652)),ISNUMBER(SEARCH("maltais",B652))),"Autres pays d'Europe",IF(OR(ISNUMBER(SEARCH("américain",B652)),ISNUMBER(SEARCH("mexicain",B652)),ISNUMBER(SEARCH("canadien",B652)),ISNUMBER(SEARCH("brésilien",B652)),ISNUMBER(SEARCH("argentin",B652))),"Amérique",IF(OR(ISNUMBER(SEARCH("chinois",B652)),ISNUMBER(SEARCH("japonais",B652)),ISNUMBER(SEARCH("coréen",B652)),ISNUMBER(SEARCH("indien",B652)),ISNUMBER(SEARCH("persan",B652)),ISNUMBER(SEARCH("iranien",B652))),"Asie","(non classée)"))))</f>
        <v/>
      </c>
    </row>
    <row r="653">
      <c r="A653" s="2" t="inlineStr">
        <is>
          <t>PRIMATICCIO</t>
        </is>
      </c>
      <c r="B653" s="2" t="inlineStr">
        <is>
          <t>française</t>
        </is>
      </c>
      <c r="C653" s="2" t="inlineStr">
        <is>
          <t>peinture</t>
        </is>
      </c>
      <c r="D653" s="2" t="inlineStr">
        <is>
          <t>16e</t>
        </is>
      </c>
      <c r="U653">
        <f>IF(ISNUMBER(SEARCH("fran",B653)),"France",IF(OR(ISNUMBER(SEARCH("italien",B653)),ISNUMBER(SEARCH("espagn",B653)),ISNUMBER(SEARCH("catalan",B653)),ISNUMBER(SEARCH("flamand",B653)),ISNUMBER(SEARCH("belge",B653)),ISNUMBER(SEARCH("hollandais",B653)),ISNUMBER(SEARCH("néerlandais",B653)),ISNUMBER(SEARCH("allemand",B653)),ISNUMBER(SEARCH("autrichien",B653)),ISNUMBER(SEARCH("suisse",B653)),ISNUMBER(SEARCH("anglais",B653)),ISNUMBER(SEARCH("britannique",B653)),ISNUMBER(SEARCH("écossais",B653)),ISNUMBER(SEARCH("irlandais",B653)),ISNUMBER(SEARCH("russe",B653)),ISNUMBER(SEARCH("portugais",B653)),ISNUMBER(SEARCH("danois",B653)),ISNUMBER(SEARCH("norvégien",B653)),ISNUMBER(SEARCH("suédois",B653)),ISNUMBER(SEARCH("finlandais",B653)),ISNUMBER(SEARCH("polonais",B653)),ISNUMBER(SEARCH("tchèque",B653)),ISNUMBER(SEARCH("hongrois",B653)),ISNUMBER(SEARCH("grec",B653)),ISNUMBER(SEARCH("byzantin",B653)),ISNUMBER(SEARCH("croate",B653)),ISNUMBER(SEARCH("ukrainien",B653)),ISNUMBER(SEARCH("bulgare",B653)),ISNUMBER(SEARCH("biélorusse",B653)),ISNUMBER(SEARCH("maltais",B653))),"Autres pays d'Europe",IF(OR(ISNUMBER(SEARCH("américain",B653)),ISNUMBER(SEARCH("mexicain",B653)),ISNUMBER(SEARCH("canadien",B653)),ISNUMBER(SEARCH("brésilien",B653)),ISNUMBER(SEARCH("argentin",B653))),"Amérique",IF(OR(ISNUMBER(SEARCH("chinois",B653)),ISNUMBER(SEARCH("japonais",B653)),ISNUMBER(SEARCH("coréen",B653)),ISNUMBER(SEARCH("indien",B653)),ISNUMBER(SEARCH("persan",B653)),ISNUMBER(SEARCH("iranien",B653))),"Asie","(non classée)"))))</f>
        <v/>
      </c>
    </row>
    <row r="654">
      <c r="A654" s="2" t="inlineStr">
        <is>
          <t>PUCCIO CAPANNA</t>
        </is>
      </c>
      <c r="B654" s="2" t="inlineStr">
        <is>
          <t>italienne</t>
        </is>
      </c>
      <c r="C654" s="2" t="inlineStr">
        <is>
          <t>peinture</t>
        </is>
      </c>
      <c r="D654" s="2" t="inlineStr">
        <is>
          <t>14e</t>
        </is>
      </c>
      <c r="U654">
        <f>IF(ISNUMBER(SEARCH("fran",B654)),"France",IF(OR(ISNUMBER(SEARCH("italien",B654)),ISNUMBER(SEARCH("espagn",B654)),ISNUMBER(SEARCH("catalan",B654)),ISNUMBER(SEARCH("flamand",B654)),ISNUMBER(SEARCH("belge",B654)),ISNUMBER(SEARCH("hollandais",B654)),ISNUMBER(SEARCH("néerlandais",B654)),ISNUMBER(SEARCH("allemand",B654)),ISNUMBER(SEARCH("autrichien",B654)),ISNUMBER(SEARCH("suisse",B654)),ISNUMBER(SEARCH("anglais",B654)),ISNUMBER(SEARCH("britannique",B654)),ISNUMBER(SEARCH("écossais",B654)),ISNUMBER(SEARCH("irlandais",B654)),ISNUMBER(SEARCH("russe",B654)),ISNUMBER(SEARCH("portugais",B654)),ISNUMBER(SEARCH("danois",B654)),ISNUMBER(SEARCH("norvégien",B654)),ISNUMBER(SEARCH("suédois",B654)),ISNUMBER(SEARCH("finlandais",B654)),ISNUMBER(SEARCH("polonais",B654)),ISNUMBER(SEARCH("tchèque",B654)),ISNUMBER(SEARCH("hongrois",B654)),ISNUMBER(SEARCH("grec",B654)),ISNUMBER(SEARCH("byzantin",B654)),ISNUMBER(SEARCH("croate",B654)),ISNUMBER(SEARCH("ukrainien",B654)),ISNUMBER(SEARCH("bulgare",B654)),ISNUMBER(SEARCH("biélorusse",B654)),ISNUMBER(SEARCH("maltais",B654))),"Autres pays d'Europe",IF(OR(ISNUMBER(SEARCH("américain",B654)),ISNUMBER(SEARCH("mexicain",B654)),ISNUMBER(SEARCH("canadien",B654)),ISNUMBER(SEARCH("brésilien",B654)),ISNUMBER(SEARCH("argentin",B654))),"Amérique",IF(OR(ISNUMBER(SEARCH("chinois",B654)),ISNUMBER(SEARCH("japonais",B654)),ISNUMBER(SEARCH("coréen",B654)),ISNUMBER(SEARCH("indien",B654)),ISNUMBER(SEARCH("persan",B654)),ISNUMBER(SEARCH("iranien",B654))),"Asie","(non classée)"))))</f>
        <v/>
      </c>
    </row>
    <row r="655">
      <c r="A655" s="2" t="inlineStr">
        <is>
          <t>PYOTR KLODT</t>
        </is>
      </c>
      <c r="B655" s="2" t="inlineStr">
        <is>
          <t>russe</t>
        </is>
      </c>
      <c r="C655" s="2" t="inlineStr">
        <is>
          <t>sculpture</t>
        </is>
      </c>
      <c r="D655" s="2" t="inlineStr">
        <is>
          <t>19e</t>
        </is>
      </c>
      <c r="U655">
        <f>IF(ISNUMBER(SEARCH("fran",B655)),"France",IF(OR(ISNUMBER(SEARCH("italien",B655)),ISNUMBER(SEARCH("espagn",B655)),ISNUMBER(SEARCH("catalan",B655)),ISNUMBER(SEARCH("flamand",B655)),ISNUMBER(SEARCH("belge",B655)),ISNUMBER(SEARCH("hollandais",B655)),ISNUMBER(SEARCH("néerlandais",B655)),ISNUMBER(SEARCH("allemand",B655)),ISNUMBER(SEARCH("autrichien",B655)),ISNUMBER(SEARCH("suisse",B655)),ISNUMBER(SEARCH("anglais",B655)),ISNUMBER(SEARCH("britannique",B655)),ISNUMBER(SEARCH("écossais",B655)),ISNUMBER(SEARCH("irlandais",B655)),ISNUMBER(SEARCH("russe",B655)),ISNUMBER(SEARCH("portugais",B655)),ISNUMBER(SEARCH("danois",B655)),ISNUMBER(SEARCH("norvégien",B655)),ISNUMBER(SEARCH("suédois",B655)),ISNUMBER(SEARCH("finlandais",B655)),ISNUMBER(SEARCH("polonais",B655)),ISNUMBER(SEARCH("tchèque",B655)),ISNUMBER(SEARCH("hongrois",B655)),ISNUMBER(SEARCH("grec",B655)),ISNUMBER(SEARCH("byzantin",B655)),ISNUMBER(SEARCH("croate",B655)),ISNUMBER(SEARCH("ukrainien",B655)),ISNUMBER(SEARCH("bulgare",B655)),ISNUMBER(SEARCH("biélorusse",B655)),ISNUMBER(SEARCH("maltais",B655))),"Autres pays d'Europe",IF(OR(ISNUMBER(SEARCH("américain",B655)),ISNUMBER(SEARCH("mexicain",B655)),ISNUMBER(SEARCH("canadien",B655)),ISNUMBER(SEARCH("brésilien",B655)),ISNUMBER(SEARCH("argentin",B655))),"Amérique",IF(OR(ISNUMBER(SEARCH("chinois",B655)),ISNUMBER(SEARCH("japonais",B655)),ISNUMBER(SEARCH("coréen",B655)),ISNUMBER(SEARCH("indien",B655)),ISNUMBER(SEARCH("persan",B655)),ISNUMBER(SEARCH("iranien",B655))),"Asie","(non classée)"))))</f>
        <v/>
      </c>
    </row>
    <row r="656">
      <c r="A656" s="2" t="inlineStr">
        <is>
          <t>QIAN XUAN</t>
        </is>
      </c>
      <c r="B656" s="2" t="inlineStr">
        <is>
          <t>chinoise</t>
        </is>
      </c>
      <c r="C656" s="2" t="inlineStr">
        <is>
          <t>peinture</t>
        </is>
      </c>
      <c r="D656" s="2" t="inlineStr">
        <is>
          <t>14e</t>
        </is>
      </c>
      <c r="U656">
        <f>IF(ISNUMBER(SEARCH("fran",B656)),"France",IF(OR(ISNUMBER(SEARCH("italien",B656)),ISNUMBER(SEARCH("espagn",B656)),ISNUMBER(SEARCH("catalan",B656)),ISNUMBER(SEARCH("flamand",B656)),ISNUMBER(SEARCH("belge",B656)),ISNUMBER(SEARCH("hollandais",B656)),ISNUMBER(SEARCH("néerlandais",B656)),ISNUMBER(SEARCH("allemand",B656)),ISNUMBER(SEARCH("autrichien",B656)),ISNUMBER(SEARCH("suisse",B656)),ISNUMBER(SEARCH("anglais",B656)),ISNUMBER(SEARCH("britannique",B656)),ISNUMBER(SEARCH("écossais",B656)),ISNUMBER(SEARCH("irlandais",B656)),ISNUMBER(SEARCH("russe",B656)),ISNUMBER(SEARCH("portugais",B656)),ISNUMBER(SEARCH("danois",B656)),ISNUMBER(SEARCH("norvégien",B656)),ISNUMBER(SEARCH("suédois",B656)),ISNUMBER(SEARCH("finlandais",B656)),ISNUMBER(SEARCH("polonais",B656)),ISNUMBER(SEARCH("tchèque",B656)),ISNUMBER(SEARCH("hongrois",B656)),ISNUMBER(SEARCH("grec",B656)),ISNUMBER(SEARCH("byzantin",B656)),ISNUMBER(SEARCH("croate",B656)),ISNUMBER(SEARCH("ukrainien",B656)),ISNUMBER(SEARCH("bulgare",B656)),ISNUMBER(SEARCH("biélorusse",B656)),ISNUMBER(SEARCH("maltais",B656))),"Autres pays d'Europe",IF(OR(ISNUMBER(SEARCH("américain",B656)),ISNUMBER(SEARCH("mexicain",B656)),ISNUMBER(SEARCH("canadien",B656)),ISNUMBER(SEARCH("brésilien",B656)),ISNUMBER(SEARCH("argentin",B656))),"Amérique",IF(OR(ISNUMBER(SEARCH("chinois",B656)),ISNUMBER(SEARCH("japonais",B656)),ISNUMBER(SEARCH("coréen",B656)),ISNUMBER(SEARCH("indien",B656)),ISNUMBER(SEARCH("persan",B656)),ISNUMBER(SEARCH("iranien",B656))),"Asie","(non classée)"))))</f>
        <v/>
      </c>
    </row>
    <row r="657">
      <c r="A657" s="2" t="inlineStr">
        <is>
          <t>QUENTIN METSYS</t>
        </is>
      </c>
      <c r="B657" s="2" t="inlineStr">
        <is>
          <t>flamande (Belgique)</t>
        </is>
      </c>
      <c r="C657" s="2" t="inlineStr">
        <is>
          <t>peinture</t>
        </is>
      </c>
      <c r="D657" s="2" t="inlineStr">
        <is>
          <t>16e</t>
        </is>
      </c>
      <c r="U657">
        <f>IF(ISNUMBER(SEARCH("fran",B657)),"France",IF(OR(ISNUMBER(SEARCH("italien",B657)),ISNUMBER(SEARCH("espagn",B657)),ISNUMBER(SEARCH("catalan",B657)),ISNUMBER(SEARCH("flamand",B657)),ISNUMBER(SEARCH("belge",B657)),ISNUMBER(SEARCH("hollandais",B657)),ISNUMBER(SEARCH("néerlandais",B657)),ISNUMBER(SEARCH("allemand",B657)),ISNUMBER(SEARCH("autrichien",B657)),ISNUMBER(SEARCH("suisse",B657)),ISNUMBER(SEARCH("anglais",B657)),ISNUMBER(SEARCH("britannique",B657)),ISNUMBER(SEARCH("écossais",B657)),ISNUMBER(SEARCH("irlandais",B657)),ISNUMBER(SEARCH("russe",B657)),ISNUMBER(SEARCH("portugais",B657)),ISNUMBER(SEARCH("danois",B657)),ISNUMBER(SEARCH("norvégien",B657)),ISNUMBER(SEARCH("suédois",B657)),ISNUMBER(SEARCH("finlandais",B657)),ISNUMBER(SEARCH("polonais",B657)),ISNUMBER(SEARCH("tchèque",B657)),ISNUMBER(SEARCH("hongrois",B657)),ISNUMBER(SEARCH("grec",B657)),ISNUMBER(SEARCH("byzantin",B657)),ISNUMBER(SEARCH("croate",B657)),ISNUMBER(SEARCH("ukrainien",B657)),ISNUMBER(SEARCH("bulgare",B657)),ISNUMBER(SEARCH("biélorusse",B657)),ISNUMBER(SEARCH("maltais",B657))),"Autres pays d'Europe",IF(OR(ISNUMBER(SEARCH("américain",B657)),ISNUMBER(SEARCH("mexicain",B657)),ISNUMBER(SEARCH("canadien",B657)),ISNUMBER(SEARCH("brésilien",B657)),ISNUMBER(SEARCH("argentin",B657))),"Amérique",IF(OR(ISNUMBER(SEARCH("chinois",B657)),ISNUMBER(SEARCH("japonais",B657)),ISNUMBER(SEARCH("coréen",B657)),ISNUMBER(SEARCH("indien",B657)),ISNUMBER(SEARCH("persan",B657)),ISNUMBER(SEARCH("iranien",B657))),"Asie","(non classée)"))))</f>
        <v/>
      </c>
    </row>
    <row r="658">
      <c r="A658" s="2" t="inlineStr">
        <is>
          <t>RAPHAËL</t>
        </is>
      </c>
      <c r="B658" s="2" t="inlineStr">
        <is>
          <t>italienne</t>
        </is>
      </c>
      <c r="C658" s="2" t="inlineStr">
        <is>
          <t>peinture</t>
        </is>
      </c>
      <c r="D658" s="2" t="inlineStr">
        <is>
          <t>16e</t>
        </is>
      </c>
      <c r="U658">
        <f>IF(ISNUMBER(SEARCH("fran",B658)),"France",IF(OR(ISNUMBER(SEARCH("italien",B658)),ISNUMBER(SEARCH("espagn",B658)),ISNUMBER(SEARCH("catalan",B658)),ISNUMBER(SEARCH("flamand",B658)),ISNUMBER(SEARCH("belge",B658)),ISNUMBER(SEARCH("hollandais",B658)),ISNUMBER(SEARCH("néerlandais",B658)),ISNUMBER(SEARCH("allemand",B658)),ISNUMBER(SEARCH("autrichien",B658)),ISNUMBER(SEARCH("suisse",B658)),ISNUMBER(SEARCH("anglais",B658)),ISNUMBER(SEARCH("britannique",B658)),ISNUMBER(SEARCH("écossais",B658)),ISNUMBER(SEARCH("irlandais",B658)),ISNUMBER(SEARCH("russe",B658)),ISNUMBER(SEARCH("portugais",B658)),ISNUMBER(SEARCH("danois",B658)),ISNUMBER(SEARCH("norvégien",B658)),ISNUMBER(SEARCH("suédois",B658)),ISNUMBER(SEARCH("finlandais",B658)),ISNUMBER(SEARCH("polonais",B658)),ISNUMBER(SEARCH("tchèque",B658)),ISNUMBER(SEARCH("hongrois",B658)),ISNUMBER(SEARCH("grec",B658)),ISNUMBER(SEARCH("byzantin",B658)),ISNUMBER(SEARCH("croate",B658)),ISNUMBER(SEARCH("ukrainien",B658)),ISNUMBER(SEARCH("bulgare",B658)),ISNUMBER(SEARCH("biélorusse",B658)),ISNUMBER(SEARCH("maltais",B658))),"Autres pays d'Europe",IF(OR(ISNUMBER(SEARCH("américain",B658)),ISNUMBER(SEARCH("mexicain",B658)),ISNUMBER(SEARCH("canadien",B658)),ISNUMBER(SEARCH("brésilien",B658)),ISNUMBER(SEARCH("argentin",B658))),"Amérique",IF(OR(ISNUMBER(SEARCH("chinois",B658)),ISNUMBER(SEARCH("japonais",B658)),ISNUMBER(SEARCH("coréen",B658)),ISNUMBER(SEARCH("indien",B658)),ISNUMBER(SEARCH("persan",B658)),ISNUMBER(SEARCH("iranien",B658))),"Asie","(non classée)"))))</f>
        <v/>
      </c>
    </row>
    <row r="659">
      <c r="A659" s="2" t="inlineStr">
        <is>
          <t>RANDOLPH ROGERS</t>
        </is>
      </c>
      <c r="B659" s="2" t="inlineStr">
        <is>
          <t>américaine</t>
        </is>
      </c>
      <c r="C659" s="2" t="inlineStr">
        <is>
          <t>sculpture</t>
        </is>
      </c>
      <c r="D659" s="2" t="inlineStr">
        <is>
          <t>19e</t>
        </is>
      </c>
      <c r="U659">
        <f>IF(ISNUMBER(SEARCH("fran",B659)),"France",IF(OR(ISNUMBER(SEARCH("italien",B659)),ISNUMBER(SEARCH("espagn",B659)),ISNUMBER(SEARCH("catalan",B659)),ISNUMBER(SEARCH("flamand",B659)),ISNUMBER(SEARCH("belge",B659)),ISNUMBER(SEARCH("hollandais",B659)),ISNUMBER(SEARCH("néerlandais",B659)),ISNUMBER(SEARCH("allemand",B659)),ISNUMBER(SEARCH("autrichien",B659)),ISNUMBER(SEARCH("suisse",B659)),ISNUMBER(SEARCH("anglais",B659)),ISNUMBER(SEARCH("britannique",B659)),ISNUMBER(SEARCH("écossais",B659)),ISNUMBER(SEARCH("irlandais",B659)),ISNUMBER(SEARCH("russe",B659)),ISNUMBER(SEARCH("portugais",B659)),ISNUMBER(SEARCH("danois",B659)),ISNUMBER(SEARCH("norvégien",B659)),ISNUMBER(SEARCH("suédois",B659)),ISNUMBER(SEARCH("finlandais",B659)),ISNUMBER(SEARCH("polonais",B659)),ISNUMBER(SEARCH("tchèque",B659)),ISNUMBER(SEARCH("hongrois",B659)),ISNUMBER(SEARCH("grec",B659)),ISNUMBER(SEARCH("byzantin",B659)),ISNUMBER(SEARCH("croate",B659)),ISNUMBER(SEARCH("ukrainien",B659)),ISNUMBER(SEARCH("bulgare",B659)),ISNUMBER(SEARCH("biélorusse",B659)),ISNUMBER(SEARCH("maltais",B659))),"Autres pays d'Europe",IF(OR(ISNUMBER(SEARCH("américain",B659)),ISNUMBER(SEARCH("mexicain",B659)),ISNUMBER(SEARCH("canadien",B659)),ISNUMBER(SEARCH("brésilien",B659)),ISNUMBER(SEARCH("argentin",B659))),"Amérique",IF(OR(ISNUMBER(SEARCH("chinois",B659)),ISNUMBER(SEARCH("japonais",B659)),ISNUMBER(SEARCH("coréen",B659)),ISNUMBER(SEARCH("indien",B659)),ISNUMBER(SEARCH("persan",B659)),ISNUMBER(SEARCH("iranien",B659))),"Asie","(non classée)"))))</f>
        <v/>
      </c>
    </row>
    <row r="660">
      <c r="A660" s="2" t="inlineStr">
        <is>
          <t>RAOUL DUFY</t>
        </is>
      </c>
      <c r="B660" s="2" t="inlineStr">
        <is>
          <t>française</t>
        </is>
      </c>
      <c r="C660" s="2" t="inlineStr">
        <is>
          <t>peinture</t>
        </is>
      </c>
      <c r="D660" s="2" t="inlineStr">
        <is>
          <t>20e</t>
        </is>
      </c>
      <c r="U660">
        <f>IF(ISNUMBER(SEARCH("fran",B660)),"France",IF(OR(ISNUMBER(SEARCH("italien",B660)),ISNUMBER(SEARCH("espagn",B660)),ISNUMBER(SEARCH("catalan",B660)),ISNUMBER(SEARCH("flamand",B660)),ISNUMBER(SEARCH("belge",B660)),ISNUMBER(SEARCH("hollandais",B660)),ISNUMBER(SEARCH("néerlandais",B660)),ISNUMBER(SEARCH("allemand",B660)),ISNUMBER(SEARCH("autrichien",B660)),ISNUMBER(SEARCH("suisse",B660)),ISNUMBER(SEARCH("anglais",B660)),ISNUMBER(SEARCH("britannique",B660)),ISNUMBER(SEARCH("écossais",B660)),ISNUMBER(SEARCH("irlandais",B660)),ISNUMBER(SEARCH("russe",B660)),ISNUMBER(SEARCH("portugais",B660)),ISNUMBER(SEARCH("danois",B660)),ISNUMBER(SEARCH("norvégien",B660)),ISNUMBER(SEARCH("suédois",B660)),ISNUMBER(SEARCH("finlandais",B660)),ISNUMBER(SEARCH("polonais",B660)),ISNUMBER(SEARCH("tchèque",B660)),ISNUMBER(SEARCH("hongrois",B660)),ISNUMBER(SEARCH("grec",B660)),ISNUMBER(SEARCH("byzantin",B660)),ISNUMBER(SEARCH("croate",B660)),ISNUMBER(SEARCH("ukrainien",B660)),ISNUMBER(SEARCH("bulgare",B660)),ISNUMBER(SEARCH("biélorusse",B660)),ISNUMBER(SEARCH("maltais",B660))),"Autres pays d'Europe",IF(OR(ISNUMBER(SEARCH("américain",B660)),ISNUMBER(SEARCH("mexicain",B660)),ISNUMBER(SEARCH("canadien",B660)),ISNUMBER(SEARCH("brésilien",B660)),ISNUMBER(SEARCH("argentin",B660))),"Amérique",IF(OR(ISNUMBER(SEARCH("chinois",B660)),ISNUMBER(SEARCH("japonais",B660)),ISNUMBER(SEARCH("coréen",B660)),ISNUMBER(SEARCH("indien",B660)),ISNUMBER(SEARCH("persan",B660)),ISNUMBER(SEARCH("iranien",B660))),"Asie","(non classée)"))))</f>
        <v/>
      </c>
    </row>
    <row r="661">
      <c r="A661" s="2" t="inlineStr">
        <is>
          <t>REINHOLD BEGAS</t>
        </is>
      </c>
      <c r="B661" s="2" t="inlineStr">
        <is>
          <t>allemande</t>
        </is>
      </c>
      <c r="C661" s="2" t="inlineStr">
        <is>
          <t>sculpture</t>
        </is>
      </c>
      <c r="D661" s="2" t="inlineStr">
        <is>
          <t>19e</t>
        </is>
      </c>
      <c r="U661">
        <f>IF(ISNUMBER(SEARCH("fran",B661)),"France",IF(OR(ISNUMBER(SEARCH("italien",B661)),ISNUMBER(SEARCH("espagn",B661)),ISNUMBER(SEARCH("catalan",B661)),ISNUMBER(SEARCH("flamand",B661)),ISNUMBER(SEARCH("belge",B661)),ISNUMBER(SEARCH("hollandais",B661)),ISNUMBER(SEARCH("néerlandais",B661)),ISNUMBER(SEARCH("allemand",B661)),ISNUMBER(SEARCH("autrichien",B661)),ISNUMBER(SEARCH("suisse",B661)),ISNUMBER(SEARCH("anglais",B661)),ISNUMBER(SEARCH("britannique",B661)),ISNUMBER(SEARCH("écossais",B661)),ISNUMBER(SEARCH("irlandais",B661)),ISNUMBER(SEARCH("russe",B661)),ISNUMBER(SEARCH("portugais",B661)),ISNUMBER(SEARCH("danois",B661)),ISNUMBER(SEARCH("norvégien",B661)),ISNUMBER(SEARCH("suédois",B661)),ISNUMBER(SEARCH("finlandais",B661)),ISNUMBER(SEARCH("polonais",B661)),ISNUMBER(SEARCH("tchèque",B661)),ISNUMBER(SEARCH("hongrois",B661)),ISNUMBER(SEARCH("grec",B661)),ISNUMBER(SEARCH("byzantin",B661)),ISNUMBER(SEARCH("croate",B661)),ISNUMBER(SEARCH("ukrainien",B661)),ISNUMBER(SEARCH("bulgare",B661)),ISNUMBER(SEARCH("biélorusse",B661)),ISNUMBER(SEARCH("maltais",B661))),"Autres pays d'Europe",IF(OR(ISNUMBER(SEARCH("américain",B661)),ISNUMBER(SEARCH("mexicain",B661)),ISNUMBER(SEARCH("canadien",B661)),ISNUMBER(SEARCH("brésilien",B661)),ISNUMBER(SEARCH("argentin",B661))),"Amérique",IF(OR(ISNUMBER(SEARCH("chinois",B661)),ISNUMBER(SEARCH("japonais",B661)),ISNUMBER(SEARCH("coréen",B661)),ISNUMBER(SEARCH("indien",B661)),ISNUMBER(SEARCH("persan",B661)),ISNUMBER(SEARCH("iranien",B661))),"Asie","(non classée)"))))</f>
        <v/>
      </c>
    </row>
    <row r="662">
      <c r="A662" s="2" t="inlineStr">
        <is>
          <t>REMBRANDT BUGATTI</t>
        </is>
      </c>
      <c r="B662" s="2" t="inlineStr">
        <is>
          <t>italienne</t>
        </is>
      </c>
      <c r="C662" s="2" t="inlineStr">
        <is>
          <t>sculpture</t>
        </is>
      </c>
      <c r="D662" s="2" t="inlineStr">
        <is>
          <t>20e</t>
        </is>
      </c>
      <c r="U662">
        <f>IF(ISNUMBER(SEARCH("fran",B662)),"France",IF(OR(ISNUMBER(SEARCH("italien",B662)),ISNUMBER(SEARCH("espagn",B662)),ISNUMBER(SEARCH("catalan",B662)),ISNUMBER(SEARCH("flamand",B662)),ISNUMBER(SEARCH("belge",B662)),ISNUMBER(SEARCH("hollandais",B662)),ISNUMBER(SEARCH("néerlandais",B662)),ISNUMBER(SEARCH("allemand",B662)),ISNUMBER(SEARCH("autrichien",B662)),ISNUMBER(SEARCH("suisse",B662)),ISNUMBER(SEARCH("anglais",B662)),ISNUMBER(SEARCH("britannique",B662)),ISNUMBER(SEARCH("écossais",B662)),ISNUMBER(SEARCH("irlandais",B662)),ISNUMBER(SEARCH("russe",B662)),ISNUMBER(SEARCH("portugais",B662)),ISNUMBER(SEARCH("danois",B662)),ISNUMBER(SEARCH("norvégien",B662)),ISNUMBER(SEARCH("suédois",B662)),ISNUMBER(SEARCH("finlandais",B662)),ISNUMBER(SEARCH("polonais",B662)),ISNUMBER(SEARCH("tchèque",B662)),ISNUMBER(SEARCH("hongrois",B662)),ISNUMBER(SEARCH("grec",B662)),ISNUMBER(SEARCH("byzantin",B662)),ISNUMBER(SEARCH("croate",B662)),ISNUMBER(SEARCH("ukrainien",B662)),ISNUMBER(SEARCH("bulgare",B662)),ISNUMBER(SEARCH("biélorusse",B662)),ISNUMBER(SEARCH("maltais",B662))),"Autres pays d'Europe",IF(OR(ISNUMBER(SEARCH("américain",B662)),ISNUMBER(SEARCH("mexicain",B662)),ISNUMBER(SEARCH("canadien",B662)),ISNUMBER(SEARCH("brésilien",B662)),ISNUMBER(SEARCH("argentin",B662))),"Amérique",IF(OR(ISNUMBER(SEARCH("chinois",B662)),ISNUMBER(SEARCH("japonais",B662)),ISNUMBER(SEARCH("coréen",B662)),ISNUMBER(SEARCH("indien",B662)),ISNUMBER(SEARCH("persan",B662)),ISNUMBER(SEARCH("iranien",B662))),"Asie","(non classée)"))))</f>
        <v/>
      </c>
    </row>
    <row r="663">
      <c r="A663" s="2" t="inlineStr">
        <is>
          <t>REMBRANDT VAN RIJN</t>
        </is>
      </c>
      <c r="B663" s="2" t="inlineStr">
        <is>
          <t>hollandaise (Pays-Bas)</t>
        </is>
      </c>
      <c r="C663" s="2" t="inlineStr">
        <is>
          <t>peinture</t>
        </is>
      </c>
      <c r="D663" s="2" t="inlineStr">
        <is>
          <t>17e</t>
        </is>
      </c>
      <c r="U663">
        <f>IF(ISNUMBER(SEARCH("fran",B663)),"France",IF(OR(ISNUMBER(SEARCH("italien",B663)),ISNUMBER(SEARCH("espagn",B663)),ISNUMBER(SEARCH("catalan",B663)),ISNUMBER(SEARCH("flamand",B663)),ISNUMBER(SEARCH("belge",B663)),ISNUMBER(SEARCH("hollandais",B663)),ISNUMBER(SEARCH("néerlandais",B663)),ISNUMBER(SEARCH("allemand",B663)),ISNUMBER(SEARCH("autrichien",B663)),ISNUMBER(SEARCH("suisse",B663)),ISNUMBER(SEARCH("anglais",B663)),ISNUMBER(SEARCH("britannique",B663)),ISNUMBER(SEARCH("écossais",B663)),ISNUMBER(SEARCH("irlandais",B663)),ISNUMBER(SEARCH("russe",B663)),ISNUMBER(SEARCH("portugais",B663)),ISNUMBER(SEARCH("danois",B663)),ISNUMBER(SEARCH("norvégien",B663)),ISNUMBER(SEARCH("suédois",B663)),ISNUMBER(SEARCH("finlandais",B663)),ISNUMBER(SEARCH("polonais",B663)),ISNUMBER(SEARCH("tchèque",B663)),ISNUMBER(SEARCH("hongrois",B663)),ISNUMBER(SEARCH("grec",B663)),ISNUMBER(SEARCH("byzantin",B663)),ISNUMBER(SEARCH("croate",B663)),ISNUMBER(SEARCH("ukrainien",B663)),ISNUMBER(SEARCH("bulgare",B663)),ISNUMBER(SEARCH("biélorusse",B663)),ISNUMBER(SEARCH("maltais",B663))),"Autres pays d'Europe",IF(OR(ISNUMBER(SEARCH("américain",B663)),ISNUMBER(SEARCH("mexicain",B663)),ISNUMBER(SEARCH("canadien",B663)),ISNUMBER(SEARCH("brésilien",B663)),ISNUMBER(SEARCH("argentin",B663))),"Amérique",IF(OR(ISNUMBER(SEARCH("chinois",B663)),ISNUMBER(SEARCH("japonais",B663)),ISNUMBER(SEARCH("coréen",B663)),ISNUMBER(SEARCH("indien",B663)),ISNUMBER(SEARCH("persan",B663)),ISNUMBER(SEARCH("iranien",B663))),"Asie","(non classée)"))))</f>
        <v/>
      </c>
    </row>
    <row r="664">
      <c r="A664" s="2" t="inlineStr">
        <is>
          <t>RICHARD WILSON</t>
        </is>
      </c>
      <c r="B664" s="2" t="inlineStr">
        <is>
          <t>anglaise (Royaume-Uni)</t>
        </is>
      </c>
      <c r="C664" s="2" t="inlineStr">
        <is>
          <t>peinture</t>
        </is>
      </c>
      <c r="D664" s="2" t="inlineStr">
        <is>
          <t>18e</t>
        </is>
      </c>
      <c r="U664">
        <f>IF(ISNUMBER(SEARCH("fran",B664)),"France",IF(OR(ISNUMBER(SEARCH("italien",B664)),ISNUMBER(SEARCH("espagn",B664)),ISNUMBER(SEARCH("catalan",B664)),ISNUMBER(SEARCH("flamand",B664)),ISNUMBER(SEARCH("belge",B664)),ISNUMBER(SEARCH("hollandais",B664)),ISNUMBER(SEARCH("néerlandais",B664)),ISNUMBER(SEARCH("allemand",B664)),ISNUMBER(SEARCH("autrichien",B664)),ISNUMBER(SEARCH("suisse",B664)),ISNUMBER(SEARCH("anglais",B664)),ISNUMBER(SEARCH("britannique",B664)),ISNUMBER(SEARCH("écossais",B664)),ISNUMBER(SEARCH("irlandais",B664)),ISNUMBER(SEARCH("russe",B664)),ISNUMBER(SEARCH("portugais",B664)),ISNUMBER(SEARCH("danois",B664)),ISNUMBER(SEARCH("norvégien",B664)),ISNUMBER(SEARCH("suédois",B664)),ISNUMBER(SEARCH("finlandais",B664)),ISNUMBER(SEARCH("polonais",B664)),ISNUMBER(SEARCH("tchèque",B664)),ISNUMBER(SEARCH("hongrois",B664)),ISNUMBER(SEARCH("grec",B664)),ISNUMBER(SEARCH("byzantin",B664)),ISNUMBER(SEARCH("croate",B664)),ISNUMBER(SEARCH("ukrainien",B664)),ISNUMBER(SEARCH("bulgare",B664)),ISNUMBER(SEARCH("biélorusse",B664)),ISNUMBER(SEARCH("maltais",B664))),"Autres pays d'Europe",IF(OR(ISNUMBER(SEARCH("américain",B664)),ISNUMBER(SEARCH("mexicain",B664)),ISNUMBER(SEARCH("canadien",B664)),ISNUMBER(SEARCH("brésilien",B664)),ISNUMBER(SEARCH("argentin",B664))),"Amérique",IF(OR(ISNUMBER(SEARCH("chinois",B664)),ISNUMBER(SEARCH("japonais",B664)),ISNUMBER(SEARCH("coréen",B664)),ISNUMBER(SEARCH("indien",B664)),ISNUMBER(SEARCH("persan",B664)),ISNUMBER(SEARCH("iranien",B664))),"Asie","(non classée)"))))</f>
        <v/>
      </c>
    </row>
    <row r="665">
      <c r="A665" s="2" t="inlineStr">
        <is>
          <t>ROBERT DELAUNAY</t>
        </is>
      </c>
      <c r="B665" s="2" t="inlineStr">
        <is>
          <t>française</t>
        </is>
      </c>
      <c r="C665" s="2" t="inlineStr">
        <is>
          <t>peinture</t>
        </is>
      </c>
      <c r="D665" s="2" t="inlineStr">
        <is>
          <t>20e</t>
        </is>
      </c>
      <c r="U665">
        <f>IF(ISNUMBER(SEARCH("fran",B665)),"France",IF(OR(ISNUMBER(SEARCH("italien",B665)),ISNUMBER(SEARCH("espagn",B665)),ISNUMBER(SEARCH("catalan",B665)),ISNUMBER(SEARCH("flamand",B665)),ISNUMBER(SEARCH("belge",B665)),ISNUMBER(SEARCH("hollandais",B665)),ISNUMBER(SEARCH("néerlandais",B665)),ISNUMBER(SEARCH("allemand",B665)),ISNUMBER(SEARCH("autrichien",B665)),ISNUMBER(SEARCH("suisse",B665)),ISNUMBER(SEARCH("anglais",B665)),ISNUMBER(SEARCH("britannique",B665)),ISNUMBER(SEARCH("écossais",B665)),ISNUMBER(SEARCH("irlandais",B665)),ISNUMBER(SEARCH("russe",B665)),ISNUMBER(SEARCH("portugais",B665)),ISNUMBER(SEARCH("danois",B665)),ISNUMBER(SEARCH("norvégien",B665)),ISNUMBER(SEARCH("suédois",B665)),ISNUMBER(SEARCH("finlandais",B665)),ISNUMBER(SEARCH("polonais",B665)),ISNUMBER(SEARCH("tchèque",B665)),ISNUMBER(SEARCH("hongrois",B665)),ISNUMBER(SEARCH("grec",B665)),ISNUMBER(SEARCH("byzantin",B665)),ISNUMBER(SEARCH("croate",B665)),ISNUMBER(SEARCH("ukrainien",B665)),ISNUMBER(SEARCH("bulgare",B665)),ISNUMBER(SEARCH("biélorusse",B665)),ISNUMBER(SEARCH("maltais",B665))),"Autres pays d'Europe",IF(OR(ISNUMBER(SEARCH("américain",B665)),ISNUMBER(SEARCH("mexicain",B665)),ISNUMBER(SEARCH("canadien",B665)),ISNUMBER(SEARCH("brésilien",B665)),ISNUMBER(SEARCH("argentin",B665))),"Amérique",IF(OR(ISNUMBER(SEARCH("chinois",B665)),ISNUMBER(SEARCH("japonais",B665)),ISNUMBER(SEARCH("coréen",B665)),ISNUMBER(SEARCH("indien",B665)),ISNUMBER(SEARCH("persan",B665)),ISNUMBER(SEARCH("iranien",B665))),"Asie","(non classée)"))))</f>
        <v/>
      </c>
    </row>
    <row r="666">
      <c r="A666" s="2" t="inlineStr">
        <is>
          <t>ROBERT LE LORRAIN</t>
        </is>
      </c>
      <c r="B666" s="2" t="inlineStr">
        <is>
          <t>française</t>
        </is>
      </c>
      <c r="C666" s="2" t="inlineStr">
        <is>
          <t>sculpture</t>
        </is>
      </c>
      <c r="D666" s="2" t="inlineStr">
        <is>
          <t>18e</t>
        </is>
      </c>
      <c r="U666">
        <f>IF(ISNUMBER(SEARCH("fran",B666)),"France",IF(OR(ISNUMBER(SEARCH("italien",B666)),ISNUMBER(SEARCH("espagn",B666)),ISNUMBER(SEARCH("catalan",B666)),ISNUMBER(SEARCH("flamand",B666)),ISNUMBER(SEARCH("belge",B666)),ISNUMBER(SEARCH("hollandais",B666)),ISNUMBER(SEARCH("néerlandais",B666)),ISNUMBER(SEARCH("allemand",B666)),ISNUMBER(SEARCH("autrichien",B666)),ISNUMBER(SEARCH("suisse",B666)),ISNUMBER(SEARCH("anglais",B666)),ISNUMBER(SEARCH("britannique",B666)),ISNUMBER(SEARCH("écossais",B666)),ISNUMBER(SEARCH("irlandais",B666)),ISNUMBER(SEARCH("russe",B666)),ISNUMBER(SEARCH("portugais",B666)),ISNUMBER(SEARCH("danois",B666)),ISNUMBER(SEARCH("norvégien",B666)),ISNUMBER(SEARCH("suédois",B666)),ISNUMBER(SEARCH("finlandais",B666)),ISNUMBER(SEARCH("polonais",B666)),ISNUMBER(SEARCH("tchèque",B666)),ISNUMBER(SEARCH("hongrois",B666)),ISNUMBER(SEARCH("grec",B666)),ISNUMBER(SEARCH("byzantin",B666)),ISNUMBER(SEARCH("croate",B666)),ISNUMBER(SEARCH("ukrainien",B666)),ISNUMBER(SEARCH("bulgare",B666)),ISNUMBER(SEARCH("biélorusse",B666)),ISNUMBER(SEARCH("maltais",B666))),"Autres pays d'Europe",IF(OR(ISNUMBER(SEARCH("américain",B666)),ISNUMBER(SEARCH("mexicain",B666)),ISNUMBER(SEARCH("canadien",B666)),ISNUMBER(SEARCH("brésilien",B666)),ISNUMBER(SEARCH("argentin",B666))),"Amérique",IF(OR(ISNUMBER(SEARCH("chinois",B666)),ISNUMBER(SEARCH("japonais",B666)),ISNUMBER(SEARCH("coréen",B666)),ISNUMBER(SEARCH("indien",B666)),ISNUMBER(SEARCH("persan",B666)),ISNUMBER(SEARCH("iranien",B666))),"Asie","(non classée)"))))</f>
        <v/>
      </c>
    </row>
    <row r="667">
      <c r="A667" s="2" t="inlineStr">
        <is>
          <t>ROGIER VAN DER WEYDEN</t>
        </is>
      </c>
      <c r="B667" s="2" t="inlineStr">
        <is>
          <t>flamande (Belgique)</t>
        </is>
      </c>
      <c r="C667" s="2" t="inlineStr">
        <is>
          <t>peinture</t>
        </is>
      </c>
      <c r="D667" s="2" t="inlineStr">
        <is>
          <t>15e</t>
        </is>
      </c>
      <c r="U667">
        <f>IF(ISNUMBER(SEARCH("fran",B667)),"France",IF(OR(ISNUMBER(SEARCH("italien",B667)),ISNUMBER(SEARCH("espagn",B667)),ISNUMBER(SEARCH("catalan",B667)),ISNUMBER(SEARCH("flamand",B667)),ISNUMBER(SEARCH("belge",B667)),ISNUMBER(SEARCH("hollandais",B667)),ISNUMBER(SEARCH("néerlandais",B667)),ISNUMBER(SEARCH("allemand",B667)),ISNUMBER(SEARCH("autrichien",B667)),ISNUMBER(SEARCH("suisse",B667)),ISNUMBER(SEARCH("anglais",B667)),ISNUMBER(SEARCH("britannique",B667)),ISNUMBER(SEARCH("écossais",B667)),ISNUMBER(SEARCH("irlandais",B667)),ISNUMBER(SEARCH("russe",B667)),ISNUMBER(SEARCH("portugais",B667)),ISNUMBER(SEARCH("danois",B667)),ISNUMBER(SEARCH("norvégien",B667)),ISNUMBER(SEARCH("suédois",B667)),ISNUMBER(SEARCH("finlandais",B667)),ISNUMBER(SEARCH("polonais",B667)),ISNUMBER(SEARCH("tchèque",B667)),ISNUMBER(SEARCH("hongrois",B667)),ISNUMBER(SEARCH("grec",B667)),ISNUMBER(SEARCH("byzantin",B667)),ISNUMBER(SEARCH("croate",B667)),ISNUMBER(SEARCH("ukrainien",B667)),ISNUMBER(SEARCH("bulgare",B667)),ISNUMBER(SEARCH("biélorusse",B667)),ISNUMBER(SEARCH("maltais",B667))),"Autres pays d'Europe",IF(OR(ISNUMBER(SEARCH("américain",B667)),ISNUMBER(SEARCH("mexicain",B667)),ISNUMBER(SEARCH("canadien",B667)),ISNUMBER(SEARCH("brésilien",B667)),ISNUMBER(SEARCH("argentin",B667))),"Amérique",IF(OR(ISNUMBER(SEARCH("chinois",B667)),ISNUMBER(SEARCH("japonais",B667)),ISNUMBER(SEARCH("coréen",B667)),ISNUMBER(SEARCH("indien",B667)),ISNUMBER(SEARCH("persan",B667)),ISNUMBER(SEARCH("iranien",B667))),"Asie","(non classée)"))))</f>
        <v/>
      </c>
    </row>
    <row r="668">
      <c r="A668" s="2" t="inlineStr">
        <is>
          <t>ROMBAUT VERHULST</t>
        </is>
      </c>
      <c r="B668" s="2" t="inlineStr">
        <is>
          <t>flamande (Belgique)</t>
        </is>
      </c>
      <c r="C668" s="2" t="inlineStr">
        <is>
          <t>sculpture</t>
        </is>
      </c>
      <c r="D668" s="2" t="inlineStr">
        <is>
          <t>17e</t>
        </is>
      </c>
      <c r="U668">
        <f>IF(ISNUMBER(SEARCH("fran",B668)),"France",IF(OR(ISNUMBER(SEARCH("italien",B668)),ISNUMBER(SEARCH("espagn",B668)),ISNUMBER(SEARCH("catalan",B668)),ISNUMBER(SEARCH("flamand",B668)),ISNUMBER(SEARCH("belge",B668)),ISNUMBER(SEARCH("hollandais",B668)),ISNUMBER(SEARCH("néerlandais",B668)),ISNUMBER(SEARCH("allemand",B668)),ISNUMBER(SEARCH("autrichien",B668)),ISNUMBER(SEARCH("suisse",B668)),ISNUMBER(SEARCH("anglais",B668)),ISNUMBER(SEARCH("britannique",B668)),ISNUMBER(SEARCH("écossais",B668)),ISNUMBER(SEARCH("irlandais",B668)),ISNUMBER(SEARCH("russe",B668)),ISNUMBER(SEARCH("portugais",B668)),ISNUMBER(SEARCH("danois",B668)),ISNUMBER(SEARCH("norvégien",B668)),ISNUMBER(SEARCH("suédois",B668)),ISNUMBER(SEARCH("finlandais",B668)),ISNUMBER(SEARCH("polonais",B668)),ISNUMBER(SEARCH("tchèque",B668)),ISNUMBER(SEARCH("hongrois",B668)),ISNUMBER(SEARCH("grec",B668)),ISNUMBER(SEARCH("byzantin",B668)),ISNUMBER(SEARCH("croate",B668)),ISNUMBER(SEARCH("ukrainien",B668)),ISNUMBER(SEARCH("bulgare",B668)),ISNUMBER(SEARCH("biélorusse",B668)),ISNUMBER(SEARCH("maltais",B668))),"Autres pays d'Europe",IF(OR(ISNUMBER(SEARCH("américain",B668)),ISNUMBER(SEARCH("mexicain",B668)),ISNUMBER(SEARCH("canadien",B668)),ISNUMBER(SEARCH("brésilien",B668)),ISNUMBER(SEARCH("argentin",B668))),"Amérique",IF(OR(ISNUMBER(SEARCH("chinois",B668)),ISNUMBER(SEARCH("japonais",B668)),ISNUMBER(SEARCH("coréen",B668)),ISNUMBER(SEARCH("indien",B668)),ISNUMBER(SEARCH("persan",B668)),ISNUMBER(SEARCH("iranien",B668))),"Asie","(non classée)"))))</f>
        <v/>
      </c>
    </row>
    <row r="669">
      <c r="A669" s="2" t="inlineStr">
        <is>
          <t>ROSA BONHEUR</t>
        </is>
      </c>
      <c r="B669" s="2" t="inlineStr">
        <is>
          <t>française</t>
        </is>
      </c>
      <c r="C669" s="2" t="inlineStr">
        <is>
          <t>peinture</t>
        </is>
      </c>
      <c r="D669" s="2" t="inlineStr">
        <is>
          <t>19e</t>
        </is>
      </c>
      <c r="U669">
        <f>IF(ISNUMBER(SEARCH("fran",B669)),"France",IF(OR(ISNUMBER(SEARCH("italien",B669)),ISNUMBER(SEARCH("espagn",B669)),ISNUMBER(SEARCH("catalan",B669)),ISNUMBER(SEARCH("flamand",B669)),ISNUMBER(SEARCH("belge",B669)),ISNUMBER(SEARCH("hollandais",B669)),ISNUMBER(SEARCH("néerlandais",B669)),ISNUMBER(SEARCH("allemand",B669)),ISNUMBER(SEARCH("autrichien",B669)),ISNUMBER(SEARCH("suisse",B669)),ISNUMBER(SEARCH("anglais",B669)),ISNUMBER(SEARCH("britannique",B669)),ISNUMBER(SEARCH("écossais",B669)),ISNUMBER(SEARCH("irlandais",B669)),ISNUMBER(SEARCH("russe",B669)),ISNUMBER(SEARCH("portugais",B669)),ISNUMBER(SEARCH("danois",B669)),ISNUMBER(SEARCH("norvégien",B669)),ISNUMBER(SEARCH("suédois",B669)),ISNUMBER(SEARCH("finlandais",B669)),ISNUMBER(SEARCH("polonais",B669)),ISNUMBER(SEARCH("tchèque",B669)),ISNUMBER(SEARCH("hongrois",B669)),ISNUMBER(SEARCH("grec",B669)),ISNUMBER(SEARCH("byzantin",B669)),ISNUMBER(SEARCH("croate",B669)),ISNUMBER(SEARCH("ukrainien",B669)),ISNUMBER(SEARCH("bulgare",B669)),ISNUMBER(SEARCH("biélorusse",B669)),ISNUMBER(SEARCH("maltais",B669))),"Autres pays d'Europe",IF(OR(ISNUMBER(SEARCH("américain",B669)),ISNUMBER(SEARCH("mexicain",B669)),ISNUMBER(SEARCH("canadien",B669)),ISNUMBER(SEARCH("brésilien",B669)),ISNUMBER(SEARCH("argentin",B669))),"Amérique",IF(OR(ISNUMBER(SEARCH("chinois",B669)),ISNUMBER(SEARCH("japonais",B669)),ISNUMBER(SEARCH("coréen",B669)),ISNUMBER(SEARCH("indien",B669)),ISNUMBER(SEARCH("persan",B669)),ISNUMBER(SEARCH("iranien",B669))),"Asie","(non classée)"))))</f>
        <v/>
      </c>
    </row>
    <row r="670">
      <c r="A670" s="2" t="inlineStr">
        <is>
          <t>ROSALBA CARRIERA</t>
        </is>
      </c>
      <c r="B670" s="2" t="inlineStr">
        <is>
          <t>italienne</t>
        </is>
      </c>
      <c r="C670" s="2" t="inlineStr">
        <is>
          <t>peinture</t>
        </is>
      </c>
      <c r="D670" s="2" t="inlineStr">
        <is>
          <t>18e</t>
        </is>
      </c>
      <c r="U670">
        <f>IF(ISNUMBER(SEARCH("fran",B670)),"France",IF(OR(ISNUMBER(SEARCH("italien",B670)),ISNUMBER(SEARCH("espagn",B670)),ISNUMBER(SEARCH("catalan",B670)),ISNUMBER(SEARCH("flamand",B670)),ISNUMBER(SEARCH("belge",B670)),ISNUMBER(SEARCH("hollandais",B670)),ISNUMBER(SEARCH("néerlandais",B670)),ISNUMBER(SEARCH("allemand",B670)),ISNUMBER(SEARCH("autrichien",B670)),ISNUMBER(SEARCH("suisse",B670)),ISNUMBER(SEARCH("anglais",B670)),ISNUMBER(SEARCH("britannique",B670)),ISNUMBER(SEARCH("écossais",B670)),ISNUMBER(SEARCH("irlandais",B670)),ISNUMBER(SEARCH("russe",B670)),ISNUMBER(SEARCH("portugais",B670)),ISNUMBER(SEARCH("danois",B670)),ISNUMBER(SEARCH("norvégien",B670)),ISNUMBER(SEARCH("suédois",B670)),ISNUMBER(SEARCH("finlandais",B670)),ISNUMBER(SEARCH("polonais",B670)),ISNUMBER(SEARCH("tchèque",B670)),ISNUMBER(SEARCH("hongrois",B670)),ISNUMBER(SEARCH("grec",B670)),ISNUMBER(SEARCH("byzantin",B670)),ISNUMBER(SEARCH("croate",B670)),ISNUMBER(SEARCH("ukrainien",B670)),ISNUMBER(SEARCH("bulgare",B670)),ISNUMBER(SEARCH("biélorusse",B670)),ISNUMBER(SEARCH("maltais",B670))),"Autres pays d'Europe",IF(OR(ISNUMBER(SEARCH("américain",B670)),ISNUMBER(SEARCH("mexicain",B670)),ISNUMBER(SEARCH("canadien",B670)),ISNUMBER(SEARCH("brésilien",B670)),ISNUMBER(SEARCH("argentin",B670))),"Amérique",IF(OR(ISNUMBER(SEARCH("chinois",B670)),ISNUMBER(SEARCH("japonais",B670)),ISNUMBER(SEARCH("coréen",B670)),ISNUMBER(SEARCH("indien",B670)),ISNUMBER(SEARCH("persan",B670)),ISNUMBER(SEARCH("iranien",B670))),"Asie","(non classée)"))))</f>
        <v/>
      </c>
    </row>
    <row r="671">
      <c r="A671" s="2" t="inlineStr">
        <is>
          <t>ROSSO FIORENTINO</t>
        </is>
      </c>
      <c r="B671" s="2" t="inlineStr">
        <is>
          <t>italienne</t>
        </is>
      </c>
      <c r="C671" s="2" t="inlineStr">
        <is>
          <t>peinture</t>
        </is>
      </c>
      <c r="D671" s="2" t="inlineStr">
        <is>
          <t>16e</t>
        </is>
      </c>
      <c r="U671">
        <f>IF(ISNUMBER(SEARCH("fran",B671)),"France",IF(OR(ISNUMBER(SEARCH("italien",B671)),ISNUMBER(SEARCH("espagn",B671)),ISNUMBER(SEARCH("catalan",B671)),ISNUMBER(SEARCH("flamand",B671)),ISNUMBER(SEARCH("belge",B671)),ISNUMBER(SEARCH("hollandais",B671)),ISNUMBER(SEARCH("néerlandais",B671)),ISNUMBER(SEARCH("allemand",B671)),ISNUMBER(SEARCH("autrichien",B671)),ISNUMBER(SEARCH("suisse",B671)),ISNUMBER(SEARCH("anglais",B671)),ISNUMBER(SEARCH("britannique",B671)),ISNUMBER(SEARCH("écossais",B671)),ISNUMBER(SEARCH("irlandais",B671)),ISNUMBER(SEARCH("russe",B671)),ISNUMBER(SEARCH("portugais",B671)),ISNUMBER(SEARCH("danois",B671)),ISNUMBER(SEARCH("norvégien",B671)),ISNUMBER(SEARCH("suédois",B671)),ISNUMBER(SEARCH("finlandais",B671)),ISNUMBER(SEARCH("polonais",B671)),ISNUMBER(SEARCH("tchèque",B671)),ISNUMBER(SEARCH("hongrois",B671)),ISNUMBER(SEARCH("grec",B671)),ISNUMBER(SEARCH("byzantin",B671)),ISNUMBER(SEARCH("croate",B671)),ISNUMBER(SEARCH("ukrainien",B671)),ISNUMBER(SEARCH("bulgare",B671)),ISNUMBER(SEARCH("biélorusse",B671)),ISNUMBER(SEARCH("maltais",B671))),"Autres pays d'Europe",IF(OR(ISNUMBER(SEARCH("américain",B671)),ISNUMBER(SEARCH("mexicain",B671)),ISNUMBER(SEARCH("canadien",B671)),ISNUMBER(SEARCH("brésilien",B671)),ISNUMBER(SEARCH("argentin",B671))),"Amérique",IF(OR(ISNUMBER(SEARCH("chinois",B671)),ISNUMBER(SEARCH("japonais",B671)),ISNUMBER(SEARCH("coréen",B671)),ISNUMBER(SEARCH("indien",B671)),ISNUMBER(SEARCH("persan",B671)),ISNUMBER(SEARCH("iranien",B671))),"Asie","(non classée)"))))</f>
        <v/>
      </c>
    </row>
    <row r="672">
      <c r="A672" s="2" t="inlineStr">
        <is>
          <t>RUDOLF SIEMERING</t>
        </is>
      </c>
      <c r="B672" s="2" t="inlineStr">
        <is>
          <t>allemande</t>
        </is>
      </c>
      <c r="C672" s="2" t="inlineStr">
        <is>
          <t>sculpture</t>
        </is>
      </c>
      <c r="D672" s="2" t="inlineStr">
        <is>
          <t>19e</t>
        </is>
      </c>
      <c r="U672">
        <f>IF(ISNUMBER(SEARCH("fran",B672)),"France",IF(OR(ISNUMBER(SEARCH("italien",B672)),ISNUMBER(SEARCH("espagn",B672)),ISNUMBER(SEARCH("catalan",B672)),ISNUMBER(SEARCH("flamand",B672)),ISNUMBER(SEARCH("belge",B672)),ISNUMBER(SEARCH("hollandais",B672)),ISNUMBER(SEARCH("néerlandais",B672)),ISNUMBER(SEARCH("allemand",B672)),ISNUMBER(SEARCH("autrichien",B672)),ISNUMBER(SEARCH("suisse",B672)),ISNUMBER(SEARCH("anglais",B672)),ISNUMBER(SEARCH("britannique",B672)),ISNUMBER(SEARCH("écossais",B672)),ISNUMBER(SEARCH("irlandais",B672)),ISNUMBER(SEARCH("russe",B672)),ISNUMBER(SEARCH("portugais",B672)),ISNUMBER(SEARCH("danois",B672)),ISNUMBER(SEARCH("norvégien",B672)),ISNUMBER(SEARCH("suédois",B672)),ISNUMBER(SEARCH("finlandais",B672)),ISNUMBER(SEARCH("polonais",B672)),ISNUMBER(SEARCH("tchèque",B672)),ISNUMBER(SEARCH("hongrois",B672)),ISNUMBER(SEARCH("grec",B672)),ISNUMBER(SEARCH("byzantin",B672)),ISNUMBER(SEARCH("croate",B672)),ISNUMBER(SEARCH("ukrainien",B672)),ISNUMBER(SEARCH("bulgare",B672)),ISNUMBER(SEARCH("biélorusse",B672)),ISNUMBER(SEARCH("maltais",B672))),"Autres pays d'Europe",IF(OR(ISNUMBER(SEARCH("américain",B672)),ISNUMBER(SEARCH("mexicain",B672)),ISNUMBER(SEARCH("canadien",B672)),ISNUMBER(SEARCH("brésilien",B672)),ISNUMBER(SEARCH("argentin",B672))),"Amérique",IF(OR(ISNUMBER(SEARCH("chinois",B672)),ISNUMBER(SEARCH("japonais",B672)),ISNUMBER(SEARCH("coréen",B672)),ISNUMBER(SEARCH("indien",B672)),ISNUMBER(SEARCH("persan",B672)),ISNUMBER(SEARCH("iranien",B672))),"Asie","(non classée)"))))</f>
        <v/>
      </c>
    </row>
    <row r="673">
      <c r="A673" s="2" t="inlineStr">
        <is>
          <t>SASSETTA (STEFANO DI GIOVANNI)</t>
        </is>
      </c>
      <c r="B673" s="2" t="inlineStr">
        <is>
          <t>italienne</t>
        </is>
      </c>
      <c r="C673" s="2" t="inlineStr">
        <is>
          <t>peinture</t>
        </is>
      </c>
      <c r="D673" s="2" t="inlineStr">
        <is>
          <t>15e</t>
        </is>
      </c>
      <c r="U673">
        <f>IF(ISNUMBER(SEARCH("fran",B673)),"France",IF(OR(ISNUMBER(SEARCH("italien",B673)),ISNUMBER(SEARCH("espagn",B673)),ISNUMBER(SEARCH("catalan",B673)),ISNUMBER(SEARCH("flamand",B673)),ISNUMBER(SEARCH("belge",B673)),ISNUMBER(SEARCH("hollandais",B673)),ISNUMBER(SEARCH("néerlandais",B673)),ISNUMBER(SEARCH("allemand",B673)),ISNUMBER(SEARCH("autrichien",B673)),ISNUMBER(SEARCH("suisse",B673)),ISNUMBER(SEARCH("anglais",B673)),ISNUMBER(SEARCH("britannique",B673)),ISNUMBER(SEARCH("écossais",B673)),ISNUMBER(SEARCH("irlandais",B673)),ISNUMBER(SEARCH("russe",B673)),ISNUMBER(SEARCH("portugais",B673)),ISNUMBER(SEARCH("danois",B673)),ISNUMBER(SEARCH("norvégien",B673)),ISNUMBER(SEARCH("suédois",B673)),ISNUMBER(SEARCH("finlandais",B673)),ISNUMBER(SEARCH("polonais",B673)),ISNUMBER(SEARCH("tchèque",B673)),ISNUMBER(SEARCH("hongrois",B673)),ISNUMBER(SEARCH("grec",B673)),ISNUMBER(SEARCH("byzantin",B673)),ISNUMBER(SEARCH("croate",B673)),ISNUMBER(SEARCH("ukrainien",B673)),ISNUMBER(SEARCH("bulgare",B673)),ISNUMBER(SEARCH("biélorusse",B673)),ISNUMBER(SEARCH("maltais",B673))),"Autres pays d'Europe",IF(OR(ISNUMBER(SEARCH("américain",B673)),ISNUMBER(SEARCH("mexicain",B673)),ISNUMBER(SEARCH("canadien",B673)),ISNUMBER(SEARCH("brésilien",B673)),ISNUMBER(SEARCH("argentin",B673))),"Amérique",IF(OR(ISNUMBER(SEARCH("chinois",B673)),ISNUMBER(SEARCH("japonais",B673)),ISNUMBER(SEARCH("coréen",B673)),ISNUMBER(SEARCH("indien",B673)),ISNUMBER(SEARCH("persan",B673)),ISNUMBER(SEARCH("iranien",B673))),"Asie","(non classée)"))))</f>
        <v/>
      </c>
    </row>
    <row r="674">
      <c r="A674" s="2" t="inlineStr">
        <is>
          <t>SALOMON VAN RUYSDAEL</t>
        </is>
      </c>
      <c r="B674" s="2" t="inlineStr">
        <is>
          <t>hollandaise (Pays-Bas)</t>
        </is>
      </c>
      <c r="C674" s="2" t="inlineStr">
        <is>
          <t>peinture</t>
        </is>
      </c>
      <c r="D674" s="2" t="inlineStr">
        <is>
          <t>17e</t>
        </is>
      </c>
      <c r="U674">
        <f>IF(ISNUMBER(SEARCH("fran",B674)),"France",IF(OR(ISNUMBER(SEARCH("italien",B674)),ISNUMBER(SEARCH("espagn",B674)),ISNUMBER(SEARCH("catalan",B674)),ISNUMBER(SEARCH("flamand",B674)),ISNUMBER(SEARCH("belge",B674)),ISNUMBER(SEARCH("hollandais",B674)),ISNUMBER(SEARCH("néerlandais",B674)),ISNUMBER(SEARCH("allemand",B674)),ISNUMBER(SEARCH("autrichien",B674)),ISNUMBER(SEARCH("suisse",B674)),ISNUMBER(SEARCH("anglais",B674)),ISNUMBER(SEARCH("britannique",B674)),ISNUMBER(SEARCH("écossais",B674)),ISNUMBER(SEARCH("irlandais",B674)),ISNUMBER(SEARCH("russe",B674)),ISNUMBER(SEARCH("portugais",B674)),ISNUMBER(SEARCH("danois",B674)),ISNUMBER(SEARCH("norvégien",B674)),ISNUMBER(SEARCH("suédois",B674)),ISNUMBER(SEARCH("finlandais",B674)),ISNUMBER(SEARCH("polonais",B674)),ISNUMBER(SEARCH("tchèque",B674)),ISNUMBER(SEARCH("hongrois",B674)),ISNUMBER(SEARCH("grec",B674)),ISNUMBER(SEARCH("byzantin",B674)),ISNUMBER(SEARCH("croate",B674)),ISNUMBER(SEARCH("ukrainien",B674)),ISNUMBER(SEARCH("bulgare",B674)),ISNUMBER(SEARCH("biélorusse",B674)),ISNUMBER(SEARCH("maltais",B674))),"Autres pays d'Europe",IF(OR(ISNUMBER(SEARCH("américain",B674)),ISNUMBER(SEARCH("mexicain",B674)),ISNUMBER(SEARCH("canadien",B674)),ISNUMBER(SEARCH("brésilien",B674)),ISNUMBER(SEARCH("argentin",B674))),"Amérique",IF(OR(ISNUMBER(SEARCH("chinois",B674)),ISNUMBER(SEARCH("japonais",B674)),ISNUMBER(SEARCH("coréen",B674)),ISNUMBER(SEARCH("indien",B674)),ISNUMBER(SEARCH("persan",B674)),ISNUMBER(SEARCH("iranien",B674))),"Asie","(non classée)"))))</f>
        <v/>
      </c>
    </row>
    <row r="675">
      <c r="A675" s="2" t="inlineStr">
        <is>
          <t>SALVATOR ROSA</t>
        </is>
      </c>
      <c r="B675" s="2" t="inlineStr">
        <is>
          <t>italienne</t>
        </is>
      </c>
      <c r="C675" s="2" t="inlineStr">
        <is>
          <t>peinture</t>
        </is>
      </c>
      <c r="D675" s="2" t="inlineStr">
        <is>
          <t>17e</t>
        </is>
      </c>
      <c r="U675">
        <f>IF(ISNUMBER(SEARCH("fran",B675)),"France",IF(OR(ISNUMBER(SEARCH("italien",B675)),ISNUMBER(SEARCH("espagn",B675)),ISNUMBER(SEARCH("catalan",B675)),ISNUMBER(SEARCH("flamand",B675)),ISNUMBER(SEARCH("belge",B675)),ISNUMBER(SEARCH("hollandais",B675)),ISNUMBER(SEARCH("néerlandais",B675)),ISNUMBER(SEARCH("allemand",B675)),ISNUMBER(SEARCH("autrichien",B675)),ISNUMBER(SEARCH("suisse",B675)),ISNUMBER(SEARCH("anglais",B675)),ISNUMBER(SEARCH("britannique",B675)),ISNUMBER(SEARCH("écossais",B675)),ISNUMBER(SEARCH("irlandais",B675)),ISNUMBER(SEARCH("russe",B675)),ISNUMBER(SEARCH("portugais",B675)),ISNUMBER(SEARCH("danois",B675)),ISNUMBER(SEARCH("norvégien",B675)),ISNUMBER(SEARCH("suédois",B675)),ISNUMBER(SEARCH("finlandais",B675)),ISNUMBER(SEARCH("polonais",B675)),ISNUMBER(SEARCH("tchèque",B675)),ISNUMBER(SEARCH("hongrois",B675)),ISNUMBER(SEARCH("grec",B675)),ISNUMBER(SEARCH("byzantin",B675)),ISNUMBER(SEARCH("croate",B675)),ISNUMBER(SEARCH("ukrainien",B675)),ISNUMBER(SEARCH("bulgare",B675)),ISNUMBER(SEARCH("biélorusse",B675)),ISNUMBER(SEARCH("maltais",B675))),"Autres pays d'Europe",IF(OR(ISNUMBER(SEARCH("américain",B675)),ISNUMBER(SEARCH("mexicain",B675)),ISNUMBER(SEARCH("canadien",B675)),ISNUMBER(SEARCH("brésilien",B675)),ISNUMBER(SEARCH("argentin",B675))),"Amérique",IF(OR(ISNUMBER(SEARCH("chinois",B675)),ISNUMBER(SEARCH("japonais",B675)),ISNUMBER(SEARCH("coréen",B675)),ISNUMBER(SEARCH("indien",B675)),ISNUMBER(SEARCH("persan",B675)),ISNUMBER(SEARCH("iranien",B675))),"Asie","(non classée)"))))</f>
        <v/>
      </c>
    </row>
    <row r="676">
      <c r="A676" s="2" t="inlineStr">
        <is>
          <t>SANDRO BOTTICELLI</t>
        </is>
      </c>
      <c r="B676" s="2" t="inlineStr">
        <is>
          <t>italienne</t>
        </is>
      </c>
      <c r="C676" s="2" t="inlineStr">
        <is>
          <t>peinture</t>
        </is>
      </c>
      <c r="D676" s="2" t="inlineStr">
        <is>
          <t>15e</t>
        </is>
      </c>
      <c r="U676">
        <f>IF(ISNUMBER(SEARCH("fran",B676)),"France",IF(OR(ISNUMBER(SEARCH("italien",B676)),ISNUMBER(SEARCH("espagn",B676)),ISNUMBER(SEARCH("catalan",B676)),ISNUMBER(SEARCH("flamand",B676)),ISNUMBER(SEARCH("belge",B676)),ISNUMBER(SEARCH("hollandais",B676)),ISNUMBER(SEARCH("néerlandais",B676)),ISNUMBER(SEARCH("allemand",B676)),ISNUMBER(SEARCH("autrichien",B676)),ISNUMBER(SEARCH("suisse",B676)),ISNUMBER(SEARCH("anglais",B676)),ISNUMBER(SEARCH("britannique",B676)),ISNUMBER(SEARCH("écossais",B676)),ISNUMBER(SEARCH("irlandais",B676)),ISNUMBER(SEARCH("russe",B676)),ISNUMBER(SEARCH("portugais",B676)),ISNUMBER(SEARCH("danois",B676)),ISNUMBER(SEARCH("norvégien",B676)),ISNUMBER(SEARCH("suédois",B676)),ISNUMBER(SEARCH("finlandais",B676)),ISNUMBER(SEARCH("polonais",B676)),ISNUMBER(SEARCH("tchèque",B676)),ISNUMBER(SEARCH("hongrois",B676)),ISNUMBER(SEARCH("grec",B676)),ISNUMBER(SEARCH("byzantin",B676)),ISNUMBER(SEARCH("croate",B676)),ISNUMBER(SEARCH("ukrainien",B676)),ISNUMBER(SEARCH("bulgare",B676)),ISNUMBER(SEARCH("biélorusse",B676)),ISNUMBER(SEARCH("maltais",B676))),"Autres pays d'Europe",IF(OR(ISNUMBER(SEARCH("américain",B676)),ISNUMBER(SEARCH("mexicain",B676)),ISNUMBER(SEARCH("canadien",B676)),ISNUMBER(SEARCH("brésilien",B676)),ISNUMBER(SEARCH("argentin",B676))),"Amérique",IF(OR(ISNUMBER(SEARCH("chinois",B676)),ISNUMBER(SEARCH("japonais",B676)),ISNUMBER(SEARCH("coréen",B676)),ISNUMBER(SEARCH("indien",B676)),ISNUMBER(SEARCH("persan",B676)),ISNUMBER(SEARCH("iranien",B676))),"Asie","(non classée)"))))</f>
        <v/>
      </c>
    </row>
    <row r="677">
      <c r="A677" s="2" t="inlineStr">
        <is>
          <t>SEBASTIANO DEL PIOMBO</t>
        </is>
      </c>
      <c r="B677" s="2" t="inlineStr">
        <is>
          <t>italienne</t>
        </is>
      </c>
      <c r="C677" s="2" t="inlineStr">
        <is>
          <t>peinture</t>
        </is>
      </c>
      <c r="D677" s="2" t="inlineStr">
        <is>
          <t>16e</t>
        </is>
      </c>
      <c r="U677">
        <f>IF(ISNUMBER(SEARCH("fran",B677)),"France",IF(OR(ISNUMBER(SEARCH("italien",B677)),ISNUMBER(SEARCH("espagn",B677)),ISNUMBER(SEARCH("catalan",B677)),ISNUMBER(SEARCH("flamand",B677)),ISNUMBER(SEARCH("belge",B677)),ISNUMBER(SEARCH("hollandais",B677)),ISNUMBER(SEARCH("néerlandais",B677)),ISNUMBER(SEARCH("allemand",B677)),ISNUMBER(SEARCH("autrichien",B677)),ISNUMBER(SEARCH("suisse",B677)),ISNUMBER(SEARCH("anglais",B677)),ISNUMBER(SEARCH("britannique",B677)),ISNUMBER(SEARCH("écossais",B677)),ISNUMBER(SEARCH("irlandais",B677)),ISNUMBER(SEARCH("russe",B677)),ISNUMBER(SEARCH("portugais",B677)),ISNUMBER(SEARCH("danois",B677)),ISNUMBER(SEARCH("norvégien",B677)),ISNUMBER(SEARCH("suédois",B677)),ISNUMBER(SEARCH("finlandais",B677)),ISNUMBER(SEARCH("polonais",B677)),ISNUMBER(SEARCH("tchèque",B677)),ISNUMBER(SEARCH("hongrois",B677)),ISNUMBER(SEARCH("grec",B677)),ISNUMBER(SEARCH("byzantin",B677)),ISNUMBER(SEARCH("croate",B677)),ISNUMBER(SEARCH("ukrainien",B677)),ISNUMBER(SEARCH("bulgare",B677)),ISNUMBER(SEARCH("biélorusse",B677)),ISNUMBER(SEARCH("maltais",B677))),"Autres pays d'Europe",IF(OR(ISNUMBER(SEARCH("américain",B677)),ISNUMBER(SEARCH("mexicain",B677)),ISNUMBER(SEARCH("canadien",B677)),ISNUMBER(SEARCH("brésilien",B677)),ISNUMBER(SEARCH("argentin",B677))),"Amérique",IF(OR(ISNUMBER(SEARCH("chinois",B677)),ISNUMBER(SEARCH("japonais",B677)),ISNUMBER(SEARCH("coréen",B677)),ISNUMBER(SEARCH("indien",B677)),ISNUMBER(SEARCH("persan",B677)),ISNUMBER(SEARCH("iranien",B677))),"Asie","(non classée)"))))</f>
        <v/>
      </c>
    </row>
    <row r="678">
      <c r="A678" s="2" t="inlineStr">
        <is>
          <t>SIMON GUILLAIN</t>
        </is>
      </c>
      <c r="B678" s="2" t="inlineStr">
        <is>
          <t>française</t>
        </is>
      </c>
      <c r="C678" s="2" t="inlineStr">
        <is>
          <t>sculpture</t>
        </is>
      </c>
      <c r="D678" s="2" t="inlineStr">
        <is>
          <t>17e</t>
        </is>
      </c>
      <c r="U678">
        <f>IF(ISNUMBER(SEARCH("fran",B678)),"France",IF(OR(ISNUMBER(SEARCH("italien",B678)),ISNUMBER(SEARCH("espagn",B678)),ISNUMBER(SEARCH("catalan",B678)),ISNUMBER(SEARCH("flamand",B678)),ISNUMBER(SEARCH("belge",B678)),ISNUMBER(SEARCH("hollandais",B678)),ISNUMBER(SEARCH("néerlandais",B678)),ISNUMBER(SEARCH("allemand",B678)),ISNUMBER(SEARCH("autrichien",B678)),ISNUMBER(SEARCH("suisse",B678)),ISNUMBER(SEARCH("anglais",B678)),ISNUMBER(SEARCH("britannique",B678)),ISNUMBER(SEARCH("écossais",B678)),ISNUMBER(SEARCH("irlandais",B678)),ISNUMBER(SEARCH("russe",B678)),ISNUMBER(SEARCH("portugais",B678)),ISNUMBER(SEARCH("danois",B678)),ISNUMBER(SEARCH("norvégien",B678)),ISNUMBER(SEARCH("suédois",B678)),ISNUMBER(SEARCH("finlandais",B678)),ISNUMBER(SEARCH("polonais",B678)),ISNUMBER(SEARCH("tchèque",B678)),ISNUMBER(SEARCH("hongrois",B678)),ISNUMBER(SEARCH("grec",B678)),ISNUMBER(SEARCH("byzantin",B678)),ISNUMBER(SEARCH("croate",B678)),ISNUMBER(SEARCH("ukrainien",B678)),ISNUMBER(SEARCH("bulgare",B678)),ISNUMBER(SEARCH("biélorusse",B678)),ISNUMBER(SEARCH("maltais",B678))),"Autres pays d'Europe",IF(OR(ISNUMBER(SEARCH("américain",B678)),ISNUMBER(SEARCH("mexicain",B678)),ISNUMBER(SEARCH("canadien",B678)),ISNUMBER(SEARCH("brésilien",B678)),ISNUMBER(SEARCH("argentin",B678))),"Amérique",IF(OR(ISNUMBER(SEARCH("chinois",B678)),ISNUMBER(SEARCH("japonais",B678)),ISNUMBER(SEARCH("coréen",B678)),ISNUMBER(SEARCH("indien",B678)),ISNUMBER(SEARCH("persan",B678)),ISNUMBER(SEARCH("iranien",B678))),"Asie","(non classée)"))))</f>
        <v/>
      </c>
    </row>
    <row r="679">
      <c r="A679" s="2" t="inlineStr">
        <is>
          <t>SIMON MARMION</t>
        </is>
      </c>
      <c r="B679" s="2" t="inlineStr">
        <is>
          <t>française</t>
        </is>
      </c>
      <c r="C679" s="2" t="inlineStr">
        <is>
          <t>peinture</t>
        </is>
      </c>
      <c r="D679" s="2" t="inlineStr">
        <is>
          <t>15e</t>
        </is>
      </c>
      <c r="U679">
        <f>IF(ISNUMBER(SEARCH("fran",B679)),"France",IF(OR(ISNUMBER(SEARCH("italien",B679)),ISNUMBER(SEARCH("espagn",B679)),ISNUMBER(SEARCH("catalan",B679)),ISNUMBER(SEARCH("flamand",B679)),ISNUMBER(SEARCH("belge",B679)),ISNUMBER(SEARCH("hollandais",B679)),ISNUMBER(SEARCH("néerlandais",B679)),ISNUMBER(SEARCH("allemand",B679)),ISNUMBER(SEARCH("autrichien",B679)),ISNUMBER(SEARCH("suisse",B679)),ISNUMBER(SEARCH("anglais",B679)),ISNUMBER(SEARCH("britannique",B679)),ISNUMBER(SEARCH("écossais",B679)),ISNUMBER(SEARCH("irlandais",B679)),ISNUMBER(SEARCH("russe",B679)),ISNUMBER(SEARCH("portugais",B679)),ISNUMBER(SEARCH("danois",B679)),ISNUMBER(SEARCH("norvégien",B679)),ISNUMBER(SEARCH("suédois",B679)),ISNUMBER(SEARCH("finlandais",B679)),ISNUMBER(SEARCH("polonais",B679)),ISNUMBER(SEARCH("tchèque",B679)),ISNUMBER(SEARCH("hongrois",B679)),ISNUMBER(SEARCH("grec",B679)),ISNUMBER(SEARCH("byzantin",B679)),ISNUMBER(SEARCH("croate",B679)),ISNUMBER(SEARCH("ukrainien",B679)),ISNUMBER(SEARCH("bulgare",B679)),ISNUMBER(SEARCH("biélorusse",B679)),ISNUMBER(SEARCH("maltais",B679))),"Autres pays d'Europe",IF(OR(ISNUMBER(SEARCH("américain",B679)),ISNUMBER(SEARCH("mexicain",B679)),ISNUMBER(SEARCH("canadien",B679)),ISNUMBER(SEARCH("brésilien",B679)),ISNUMBER(SEARCH("argentin",B679))),"Amérique",IF(OR(ISNUMBER(SEARCH("chinois",B679)),ISNUMBER(SEARCH("japonais",B679)),ISNUMBER(SEARCH("coréen",B679)),ISNUMBER(SEARCH("indien",B679)),ISNUMBER(SEARCH("persan",B679)),ISNUMBER(SEARCH("iranien",B679))),"Asie","(non classée)"))))</f>
        <v/>
      </c>
    </row>
    <row r="680">
      <c r="A680" s="2" t="inlineStr">
        <is>
          <t>SIMON VOUET</t>
        </is>
      </c>
      <c r="B680" s="2" t="inlineStr">
        <is>
          <t>française</t>
        </is>
      </c>
      <c r="C680" s="2" t="inlineStr">
        <is>
          <t>peinture</t>
        </is>
      </c>
      <c r="D680" s="2" t="inlineStr">
        <is>
          <t>17e</t>
        </is>
      </c>
      <c r="U680">
        <f>IF(ISNUMBER(SEARCH("fran",B680)),"France",IF(OR(ISNUMBER(SEARCH("italien",B680)),ISNUMBER(SEARCH("espagn",B680)),ISNUMBER(SEARCH("catalan",B680)),ISNUMBER(SEARCH("flamand",B680)),ISNUMBER(SEARCH("belge",B680)),ISNUMBER(SEARCH("hollandais",B680)),ISNUMBER(SEARCH("néerlandais",B680)),ISNUMBER(SEARCH("allemand",B680)),ISNUMBER(SEARCH("autrichien",B680)),ISNUMBER(SEARCH("suisse",B680)),ISNUMBER(SEARCH("anglais",B680)),ISNUMBER(SEARCH("britannique",B680)),ISNUMBER(SEARCH("écossais",B680)),ISNUMBER(SEARCH("irlandais",B680)),ISNUMBER(SEARCH("russe",B680)),ISNUMBER(SEARCH("portugais",B680)),ISNUMBER(SEARCH("danois",B680)),ISNUMBER(SEARCH("norvégien",B680)),ISNUMBER(SEARCH("suédois",B680)),ISNUMBER(SEARCH("finlandais",B680)),ISNUMBER(SEARCH("polonais",B680)),ISNUMBER(SEARCH("tchèque",B680)),ISNUMBER(SEARCH("hongrois",B680)),ISNUMBER(SEARCH("grec",B680)),ISNUMBER(SEARCH("byzantin",B680)),ISNUMBER(SEARCH("croate",B680)),ISNUMBER(SEARCH("ukrainien",B680)),ISNUMBER(SEARCH("bulgare",B680)),ISNUMBER(SEARCH("biélorusse",B680)),ISNUMBER(SEARCH("maltais",B680))),"Autres pays d'Europe",IF(OR(ISNUMBER(SEARCH("américain",B680)),ISNUMBER(SEARCH("mexicain",B680)),ISNUMBER(SEARCH("canadien",B680)),ISNUMBER(SEARCH("brésilien",B680)),ISNUMBER(SEARCH("argentin",B680))),"Amérique",IF(OR(ISNUMBER(SEARCH("chinois",B680)),ISNUMBER(SEARCH("japonais",B680)),ISNUMBER(SEARCH("coréen",B680)),ISNUMBER(SEARCH("indien",B680)),ISNUMBER(SEARCH("persan",B680)),ISNUMBER(SEARCH("iranien",B680))),"Asie","(non classée)"))))</f>
        <v/>
      </c>
    </row>
    <row r="681">
      <c r="A681" s="2" t="inlineStr">
        <is>
          <t>SIMONE MARTINI</t>
        </is>
      </c>
      <c r="B681" s="2" t="inlineStr">
        <is>
          <t>italienne</t>
        </is>
      </c>
      <c r="C681" s="2" t="inlineStr">
        <is>
          <t>peinture</t>
        </is>
      </c>
      <c r="D681" s="2" t="inlineStr">
        <is>
          <t>14e</t>
        </is>
      </c>
      <c r="U681">
        <f>IF(ISNUMBER(SEARCH("fran",B681)),"France",IF(OR(ISNUMBER(SEARCH("italien",B681)),ISNUMBER(SEARCH("espagn",B681)),ISNUMBER(SEARCH("catalan",B681)),ISNUMBER(SEARCH("flamand",B681)),ISNUMBER(SEARCH("belge",B681)),ISNUMBER(SEARCH("hollandais",B681)),ISNUMBER(SEARCH("néerlandais",B681)),ISNUMBER(SEARCH("allemand",B681)),ISNUMBER(SEARCH("autrichien",B681)),ISNUMBER(SEARCH("suisse",B681)),ISNUMBER(SEARCH("anglais",B681)),ISNUMBER(SEARCH("britannique",B681)),ISNUMBER(SEARCH("écossais",B681)),ISNUMBER(SEARCH("irlandais",B681)),ISNUMBER(SEARCH("russe",B681)),ISNUMBER(SEARCH("portugais",B681)),ISNUMBER(SEARCH("danois",B681)),ISNUMBER(SEARCH("norvégien",B681)),ISNUMBER(SEARCH("suédois",B681)),ISNUMBER(SEARCH("finlandais",B681)),ISNUMBER(SEARCH("polonais",B681)),ISNUMBER(SEARCH("tchèque",B681)),ISNUMBER(SEARCH("hongrois",B681)),ISNUMBER(SEARCH("grec",B681)),ISNUMBER(SEARCH("byzantin",B681)),ISNUMBER(SEARCH("croate",B681)),ISNUMBER(SEARCH("ukrainien",B681)),ISNUMBER(SEARCH("bulgare",B681)),ISNUMBER(SEARCH("biélorusse",B681)),ISNUMBER(SEARCH("maltais",B681))),"Autres pays d'Europe",IF(OR(ISNUMBER(SEARCH("américain",B681)),ISNUMBER(SEARCH("mexicain",B681)),ISNUMBER(SEARCH("canadien",B681)),ISNUMBER(SEARCH("brésilien",B681)),ISNUMBER(SEARCH("argentin",B681))),"Amérique",IF(OR(ISNUMBER(SEARCH("chinois",B681)),ISNUMBER(SEARCH("japonais",B681)),ISNUMBER(SEARCH("coréen",B681)),ISNUMBER(SEARCH("indien",B681)),ISNUMBER(SEARCH("persan",B681)),ISNUMBER(SEARCH("iranien",B681))),"Asie","(non classée)"))))</f>
        <v/>
      </c>
    </row>
    <row r="682">
      <c r="A682" s="2" t="inlineStr">
        <is>
          <t>SIMONE DEI CROCIFISSI</t>
        </is>
      </c>
      <c r="B682" s="2" t="inlineStr">
        <is>
          <t>italienne</t>
        </is>
      </c>
      <c r="C682" s="2" t="inlineStr">
        <is>
          <t>peinture</t>
        </is>
      </c>
      <c r="D682" s="2" t="inlineStr">
        <is>
          <t>14e</t>
        </is>
      </c>
      <c r="U682">
        <f>IF(ISNUMBER(SEARCH("fran",B682)),"France",IF(OR(ISNUMBER(SEARCH("italien",B682)),ISNUMBER(SEARCH("espagn",B682)),ISNUMBER(SEARCH("catalan",B682)),ISNUMBER(SEARCH("flamand",B682)),ISNUMBER(SEARCH("belge",B682)),ISNUMBER(SEARCH("hollandais",B682)),ISNUMBER(SEARCH("néerlandais",B682)),ISNUMBER(SEARCH("allemand",B682)),ISNUMBER(SEARCH("autrichien",B682)),ISNUMBER(SEARCH("suisse",B682)),ISNUMBER(SEARCH("anglais",B682)),ISNUMBER(SEARCH("britannique",B682)),ISNUMBER(SEARCH("écossais",B682)),ISNUMBER(SEARCH("irlandais",B682)),ISNUMBER(SEARCH("russe",B682)),ISNUMBER(SEARCH("portugais",B682)),ISNUMBER(SEARCH("danois",B682)),ISNUMBER(SEARCH("norvégien",B682)),ISNUMBER(SEARCH("suédois",B682)),ISNUMBER(SEARCH("finlandais",B682)),ISNUMBER(SEARCH("polonais",B682)),ISNUMBER(SEARCH("tchèque",B682)),ISNUMBER(SEARCH("hongrois",B682)),ISNUMBER(SEARCH("grec",B682)),ISNUMBER(SEARCH("byzantin",B682)),ISNUMBER(SEARCH("croate",B682)),ISNUMBER(SEARCH("ukrainien",B682)),ISNUMBER(SEARCH("bulgare",B682)),ISNUMBER(SEARCH("biélorusse",B682)),ISNUMBER(SEARCH("maltais",B682))),"Autres pays d'Europe",IF(OR(ISNUMBER(SEARCH("américain",B682)),ISNUMBER(SEARCH("mexicain",B682)),ISNUMBER(SEARCH("canadien",B682)),ISNUMBER(SEARCH("brésilien",B682)),ISNUMBER(SEARCH("argentin",B682))),"Amérique",IF(OR(ISNUMBER(SEARCH("chinois",B682)),ISNUMBER(SEARCH("japonais",B682)),ISNUMBER(SEARCH("coréen",B682)),ISNUMBER(SEARCH("indien",B682)),ISNUMBER(SEARCH("persan",B682)),ISNUMBER(SEARCH("iranien",B682))),"Asie","(non classée)"))))</f>
        <v/>
      </c>
    </row>
    <row r="683">
      <c r="A683" s="2" t="inlineStr">
        <is>
          <t>SOFONISBA ANGUISSOLA</t>
        </is>
      </c>
      <c r="B683" s="2" t="inlineStr">
        <is>
          <t>italienne</t>
        </is>
      </c>
      <c r="C683" s="2" t="inlineStr">
        <is>
          <t>peinture</t>
        </is>
      </c>
      <c r="D683" s="2" t="inlineStr">
        <is>
          <t>16e</t>
        </is>
      </c>
      <c r="U683">
        <f>IF(ISNUMBER(SEARCH("fran",B683)),"France",IF(OR(ISNUMBER(SEARCH("italien",B683)),ISNUMBER(SEARCH("espagn",B683)),ISNUMBER(SEARCH("catalan",B683)),ISNUMBER(SEARCH("flamand",B683)),ISNUMBER(SEARCH("belge",B683)),ISNUMBER(SEARCH("hollandais",B683)),ISNUMBER(SEARCH("néerlandais",B683)),ISNUMBER(SEARCH("allemand",B683)),ISNUMBER(SEARCH("autrichien",B683)),ISNUMBER(SEARCH("suisse",B683)),ISNUMBER(SEARCH("anglais",B683)),ISNUMBER(SEARCH("britannique",B683)),ISNUMBER(SEARCH("écossais",B683)),ISNUMBER(SEARCH("irlandais",B683)),ISNUMBER(SEARCH("russe",B683)),ISNUMBER(SEARCH("portugais",B683)),ISNUMBER(SEARCH("danois",B683)),ISNUMBER(SEARCH("norvégien",B683)),ISNUMBER(SEARCH("suédois",B683)),ISNUMBER(SEARCH("finlandais",B683)),ISNUMBER(SEARCH("polonais",B683)),ISNUMBER(SEARCH("tchèque",B683)),ISNUMBER(SEARCH("hongrois",B683)),ISNUMBER(SEARCH("grec",B683)),ISNUMBER(SEARCH("byzantin",B683)),ISNUMBER(SEARCH("croate",B683)),ISNUMBER(SEARCH("ukrainien",B683)),ISNUMBER(SEARCH("bulgare",B683)),ISNUMBER(SEARCH("biélorusse",B683)),ISNUMBER(SEARCH("maltais",B683))),"Autres pays d'Europe",IF(OR(ISNUMBER(SEARCH("américain",B683)),ISNUMBER(SEARCH("mexicain",B683)),ISNUMBER(SEARCH("canadien",B683)),ISNUMBER(SEARCH("brésilien",B683)),ISNUMBER(SEARCH("argentin",B683))),"Amérique",IF(OR(ISNUMBER(SEARCH("chinois",B683)),ISNUMBER(SEARCH("japonais",B683)),ISNUMBER(SEARCH("coréen",B683)),ISNUMBER(SEARCH("indien",B683)),ISNUMBER(SEARCH("persan",B683)),ISNUMBER(SEARCH("iranien",B683))),"Asie","(non classée)"))))</f>
        <v/>
      </c>
    </row>
    <row r="684">
      <c r="A684" s="2" t="inlineStr">
        <is>
          <t>SPINELLO ARETINO</t>
        </is>
      </c>
      <c r="B684" s="2" t="inlineStr">
        <is>
          <t>italienne</t>
        </is>
      </c>
      <c r="C684" s="2" t="inlineStr">
        <is>
          <t>peinture</t>
        </is>
      </c>
      <c r="D684" s="2" t="inlineStr">
        <is>
          <t>14e</t>
        </is>
      </c>
      <c r="U684">
        <f>IF(ISNUMBER(SEARCH("fran",B684)),"France",IF(OR(ISNUMBER(SEARCH("italien",B684)),ISNUMBER(SEARCH("espagn",B684)),ISNUMBER(SEARCH("catalan",B684)),ISNUMBER(SEARCH("flamand",B684)),ISNUMBER(SEARCH("belge",B684)),ISNUMBER(SEARCH("hollandais",B684)),ISNUMBER(SEARCH("néerlandais",B684)),ISNUMBER(SEARCH("allemand",B684)),ISNUMBER(SEARCH("autrichien",B684)),ISNUMBER(SEARCH("suisse",B684)),ISNUMBER(SEARCH("anglais",B684)),ISNUMBER(SEARCH("britannique",B684)),ISNUMBER(SEARCH("écossais",B684)),ISNUMBER(SEARCH("irlandais",B684)),ISNUMBER(SEARCH("russe",B684)),ISNUMBER(SEARCH("portugais",B684)),ISNUMBER(SEARCH("danois",B684)),ISNUMBER(SEARCH("norvégien",B684)),ISNUMBER(SEARCH("suédois",B684)),ISNUMBER(SEARCH("finlandais",B684)),ISNUMBER(SEARCH("polonais",B684)),ISNUMBER(SEARCH("tchèque",B684)),ISNUMBER(SEARCH("hongrois",B684)),ISNUMBER(SEARCH("grec",B684)),ISNUMBER(SEARCH("byzantin",B684)),ISNUMBER(SEARCH("croate",B684)),ISNUMBER(SEARCH("ukrainien",B684)),ISNUMBER(SEARCH("bulgare",B684)),ISNUMBER(SEARCH("biélorusse",B684)),ISNUMBER(SEARCH("maltais",B684))),"Autres pays d'Europe",IF(OR(ISNUMBER(SEARCH("américain",B684)),ISNUMBER(SEARCH("mexicain",B684)),ISNUMBER(SEARCH("canadien",B684)),ISNUMBER(SEARCH("brésilien",B684)),ISNUMBER(SEARCH("argentin",B684))),"Amérique",IF(OR(ISNUMBER(SEARCH("chinois",B684)),ISNUMBER(SEARCH("japonais",B684)),ISNUMBER(SEARCH("coréen",B684)),ISNUMBER(SEARCH("indien",B684)),ISNUMBER(SEARCH("persan",B684)),ISNUMBER(SEARCH("iranien",B684))),"Asie","(non classée)"))))</f>
        <v/>
      </c>
    </row>
    <row r="685">
      <c r="A685" s="2" t="inlineStr">
        <is>
          <t>STEFAN LOCHNER</t>
        </is>
      </c>
      <c r="B685" s="2" t="inlineStr">
        <is>
          <t>allemande</t>
        </is>
      </c>
      <c r="C685" s="2" t="inlineStr">
        <is>
          <t>peinture</t>
        </is>
      </c>
      <c r="D685" s="2" t="inlineStr">
        <is>
          <t>15e</t>
        </is>
      </c>
      <c r="U685">
        <f>IF(ISNUMBER(SEARCH("fran",B685)),"France",IF(OR(ISNUMBER(SEARCH("italien",B685)),ISNUMBER(SEARCH("espagn",B685)),ISNUMBER(SEARCH("catalan",B685)),ISNUMBER(SEARCH("flamand",B685)),ISNUMBER(SEARCH("belge",B685)),ISNUMBER(SEARCH("hollandais",B685)),ISNUMBER(SEARCH("néerlandais",B685)),ISNUMBER(SEARCH("allemand",B685)),ISNUMBER(SEARCH("autrichien",B685)),ISNUMBER(SEARCH("suisse",B685)),ISNUMBER(SEARCH("anglais",B685)),ISNUMBER(SEARCH("britannique",B685)),ISNUMBER(SEARCH("écossais",B685)),ISNUMBER(SEARCH("irlandais",B685)),ISNUMBER(SEARCH("russe",B685)),ISNUMBER(SEARCH("portugais",B685)),ISNUMBER(SEARCH("danois",B685)),ISNUMBER(SEARCH("norvégien",B685)),ISNUMBER(SEARCH("suédois",B685)),ISNUMBER(SEARCH("finlandais",B685)),ISNUMBER(SEARCH("polonais",B685)),ISNUMBER(SEARCH("tchèque",B685)),ISNUMBER(SEARCH("hongrois",B685)),ISNUMBER(SEARCH("grec",B685)),ISNUMBER(SEARCH("byzantin",B685)),ISNUMBER(SEARCH("croate",B685)),ISNUMBER(SEARCH("ukrainien",B685)),ISNUMBER(SEARCH("bulgare",B685)),ISNUMBER(SEARCH("biélorusse",B685)),ISNUMBER(SEARCH("maltais",B685))),"Autres pays d'Europe",IF(OR(ISNUMBER(SEARCH("américain",B685)),ISNUMBER(SEARCH("mexicain",B685)),ISNUMBER(SEARCH("canadien",B685)),ISNUMBER(SEARCH("brésilien",B685)),ISNUMBER(SEARCH("argentin",B685))),"Amérique",IF(OR(ISNUMBER(SEARCH("chinois",B685)),ISNUMBER(SEARCH("japonais",B685)),ISNUMBER(SEARCH("coréen",B685)),ISNUMBER(SEARCH("indien",B685)),ISNUMBER(SEARCH("persan",B685)),ISNUMBER(SEARCH("iranien",B685))),"Asie","(non classée)"))))</f>
        <v/>
      </c>
    </row>
    <row r="686">
      <c r="A686" s="2" t="inlineStr">
        <is>
          <t>STEFANO MADERNO</t>
        </is>
      </c>
      <c r="B686" s="2" t="inlineStr">
        <is>
          <t>italienne</t>
        </is>
      </c>
      <c r="C686" s="2" t="inlineStr">
        <is>
          <t>sculpture</t>
        </is>
      </c>
      <c r="D686" s="2" t="inlineStr">
        <is>
          <t>17e</t>
        </is>
      </c>
      <c r="U686">
        <f>IF(ISNUMBER(SEARCH("fran",B686)),"France",IF(OR(ISNUMBER(SEARCH("italien",B686)),ISNUMBER(SEARCH("espagn",B686)),ISNUMBER(SEARCH("catalan",B686)),ISNUMBER(SEARCH("flamand",B686)),ISNUMBER(SEARCH("belge",B686)),ISNUMBER(SEARCH("hollandais",B686)),ISNUMBER(SEARCH("néerlandais",B686)),ISNUMBER(SEARCH("allemand",B686)),ISNUMBER(SEARCH("autrichien",B686)),ISNUMBER(SEARCH("suisse",B686)),ISNUMBER(SEARCH("anglais",B686)),ISNUMBER(SEARCH("britannique",B686)),ISNUMBER(SEARCH("écossais",B686)),ISNUMBER(SEARCH("irlandais",B686)),ISNUMBER(SEARCH("russe",B686)),ISNUMBER(SEARCH("portugais",B686)),ISNUMBER(SEARCH("danois",B686)),ISNUMBER(SEARCH("norvégien",B686)),ISNUMBER(SEARCH("suédois",B686)),ISNUMBER(SEARCH("finlandais",B686)),ISNUMBER(SEARCH("polonais",B686)),ISNUMBER(SEARCH("tchèque",B686)),ISNUMBER(SEARCH("hongrois",B686)),ISNUMBER(SEARCH("grec",B686)),ISNUMBER(SEARCH("byzantin",B686)),ISNUMBER(SEARCH("croate",B686)),ISNUMBER(SEARCH("ukrainien",B686)),ISNUMBER(SEARCH("bulgare",B686)),ISNUMBER(SEARCH("biélorusse",B686)),ISNUMBER(SEARCH("maltais",B686))),"Autres pays d'Europe",IF(OR(ISNUMBER(SEARCH("américain",B686)),ISNUMBER(SEARCH("mexicain",B686)),ISNUMBER(SEARCH("canadien",B686)),ISNUMBER(SEARCH("brésilien",B686)),ISNUMBER(SEARCH("argentin",B686))),"Amérique",IF(OR(ISNUMBER(SEARCH("chinois",B686)),ISNUMBER(SEARCH("japonais",B686)),ISNUMBER(SEARCH("coréen",B686)),ISNUMBER(SEARCH("indien",B686)),ISNUMBER(SEARCH("persan",B686)),ISNUMBER(SEARCH("iranien",B686))),"Asie","(non classée)"))))</f>
        <v/>
      </c>
    </row>
    <row r="687">
      <c r="A687" s="2" t="inlineStr">
        <is>
          <t>STEPHAN SINDING</t>
        </is>
      </c>
      <c r="B687" s="2" t="inlineStr">
        <is>
          <t>norvégienne</t>
        </is>
      </c>
      <c r="C687" s="2" t="inlineStr">
        <is>
          <t>sculpture</t>
        </is>
      </c>
      <c r="D687" s="2" t="inlineStr">
        <is>
          <t>19e</t>
        </is>
      </c>
      <c r="U687">
        <f>IF(ISNUMBER(SEARCH("fran",B687)),"France",IF(OR(ISNUMBER(SEARCH("italien",B687)),ISNUMBER(SEARCH("espagn",B687)),ISNUMBER(SEARCH("catalan",B687)),ISNUMBER(SEARCH("flamand",B687)),ISNUMBER(SEARCH("belge",B687)),ISNUMBER(SEARCH("hollandais",B687)),ISNUMBER(SEARCH("néerlandais",B687)),ISNUMBER(SEARCH("allemand",B687)),ISNUMBER(SEARCH("autrichien",B687)),ISNUMBER(SEARCH("suisse",B687)),ISNUMBER(SEARCH("anglais",B687)),ISNUMBER(SEARCH("britannique",B687)),ISNUMBER(SEARCH("écossais",B687)),ISNUMBER(SEARCH("irlandais",B687)),ISNUMBER(SEARCH("russe",B687)),ISNUMBER(SEARCH("portugais",B687)),ISNUMBER(SEARCH("danois",B687)),ISNUMBER(SEARCH("norvégien",B687)),ISNUMBER(SEARCH("suédois",B687)),ISNUMBER(SEARCH("finlandais",B687)),ISNUMBER(SEARCH("polonais",B687)),ISNUMBER(SEARCH("tchèque",B687)),ISNUMBER(SEARCH("hongrois",B687)),ISNUMBER(SEARCH("grec",B687)),ISNUMBER(SEARCH("byzantin",B687)),ISNUMBER(SEARCH("croate",B687)),ISNUMBER(SEARCH("ukrainien",B687)),ISNUMBER(SEARCH("bulgare",B687)),ISNUMBER(SEARCH("biélorusse",B687)),ISNUMBER(SEARCH("maltais",B687))),"Autres pays d'Europe",IF(OR(ISNUMBER(SEARCH("américain",B687)),ISNUMBER(SEARCH("mexicain",B687)),ISNUMBER(SEARCH("canadien",B687)),ISNUMBER(SEARCH("brésilien",B687)),ISNUMBER(SEARCH("argentin",B687))),"Amérique",IF(OR(ISNUMBER(SEARCH("chinois",B687)),ISNUMBER(SEARCH("japonais",B687)),ISNUMBER(SEARCH("coréen",B687)),ISNUMBER(SEARCH("indien",B687)),ISNUMBER(SEARCH("persan",B687)),ISNUMBER(SEARCH("iranien",B687))),"Asie","(non classée)"))))</f>
        <v/>
      </c>
    </row>
    <row r="688">
      <c r="A688" s="2" t="inlineStr">
        <is>
          <t>SUZANNE VALADON</t>
        </is>
      </c>
      <c r="B688" s="2" t="inlineStr">
        <is>
          <t>française</t>
        </is>
      </c>
      <c r="C688" s="2" t="inlineStr">
        <is>
          <t>peinture</t>
        </is>
      </c>
      <c r="D688" s="2" t="inlineStr">
        <is>
          <t>20e</t>
        </is>
      </c>
      <c r="U688">
        <f>IF(ISNUMBER(SEARCH("fran",B688)),"France",IF(OR(ISNUMBER(SEARCH("italien",B688)),ISNUMBER(SEARCH("espagn",B688)),ISNUMBER(SEARCH("catalan",B688)),ISNUMBER(SEARCH("flamand",B688)),ISNUMBER(SEARCH("belge",B688)),ISNUMBER(SEARCH("hollandais",B688)),ISNUMBER(SEARCH("néerlandais",B688)),ISNUMBER(SEARCH("allemand",B688)),ISNUMBER(SEARCH("autrichien",B688)),ISNUMBER(SEARCH("suisse",B688)),ISNUMBER(SEARCH("anglais",B688)),ISNUMBER(SEARCH("britannique",B688)),ISNUMBER(SEARCH("écossais",B688)),ISNUMBER(SEARCH("irlandais",B688)),ISNUMBER(SEARCH("russe",B688)),ISNUMBER(SEARCH("portugais",B688)),ISNUMBER(SEARCH("danois",B688)),ISNUMBER(SEARCH("norvégien",B688)),ISNUMBER(SEARCH("suédois",B688)),ISNUMBER(SEARCH("finlandais",B688)),ISNUMBER(SEARCH("polonais",B688)),ISNUMBER(SEARCH("tchèque",B688)),ISNUMBER(SEARCH("hongrois",B688)),ISNUMBER(SEARCH("grec",B688)),ISNUMBER(SEARCH("byzantin",B688)),ISNUMBER(SEARCH("croate",B688)),ISNUMBER(SEARCH("ukrainien",B688)),ISNUMBER(SEARCH("bulgare",B688)),ISNUMBER(SEARCH("biélorusse",B688)),ISNUMBER(SEARCH("maltais",B688))),"Autres pays d'Europe",IF(OR(ISNUMBER(SEARCH("américain",B688)),ISNUMBER(SEARCH("mexicain",B688)),ISNUMBER(SEARCH("canadien",B688)),ISNUMBER(SEARCH("brésilien",B688)),ISNUMBER(SEARCH("argentin",B688))),"Amérique",IF(OR(ISNUMBER(SEARCH("chinois",B688)),ISNUMBER(SEARCH("japonais",B688)),ISNUMBER(SEARCH("coréen",B688)),ISNUMBER(SEARCH("indien",B688)),ISNUMBER(SEARCH("persan",B688)),ISNUMBER(SEARCH("iranien",B688))),"Asie","(non classée)"))))</f>
        <v/>
      </c>
    </row>
    <row r="689">
      <c r="A689" s="2" t="inlineStr">
        <is>
          <t>TITIEN</t>
        </is>
      </c>
      <c r="B689" s="2" t="inlineStr">
        <is>
          <t>italienne</t>
        </is>
      </c>
      <c r="C689" s="2" t="inlineStr">
        <is>
          <t>peinture</t>
        </is>
      </c>
      <c r="D689" s="2" t="inlineStr">
        <is>
          <t>16e</t>
        </is>
      </c>
      <c r="U689">
        <f>IF(ISNUMBER(SEARCH("fran",B689)),"France",IF(OR(ISNUMBER(SEARCH("italien",B689)),ISNUMBER(SEARCH("espagn",B689)),ISNUMBER(SEARCH("catalan",B689)),ISNUMBER(SEARCH("flamand",B689)),ISNUMBER(SEARCH("belge",B689)),ISNUMBER(SEARCH("hollandais",B689)),ISNUMBER(SEARCH("néerlandais",B689)),ISNUMBER(SEARCH("allemand",B689)),ISNUMBER(SEARCH("autrichien",B689)),ISNUMBER(SEARCH("suisse",B689)),ISNUMBER(SEARCH("anglais",B689)),ISNUMBER(SEARCH("britannique",B689)),ISNUMBER(SEARCH("écossais",B689)),ISNUMBER(SEARCH("irlandais",B689)),ISNUMBER(SEARCH("russe",B689)),ISNUMBER(SEARCH("portugais",B689)),ISNUMBER(SEARCH("danois",B689)),ISNUMBER(SEARCH("norvégien",B689)),ISNUMBER(SEARCH("suédois",B689)),ISNUMBER(SEARCH("finlandais",B689)),ISNUMBER(SEARCH("polonais",B689)),ISNUMBER(SEARCH("tchèque",B689)),ISNUMBER(SEARCH("hongrois",B689)),ISNUMBER(SEARCH("grec",B689)),ISNUMBER(SEARCH("byzantin",B689)),ISNUMBER(SEARCH("croate",B689)),ISNUMBER(SEARCH("ukrainien",B689)),ISNUMBER(SEARCH("bulgare",B689)),ISNUMBER(SEARCH("biélorusse",B689)),ISNUMBER(SEARCH("maltais",B689))),"Autres pays d'Europe",IF(OR(ISNUMBER(SEARCH("américain",B689)),ISNUMBER(SEARCH("mexicain",B689)),ISNUMBER(SEARCH("canadien",B689)),ISNUMBER(SEARCH("brésilien",B689)),ISNUMBER(SEARCH("argentin",B689))),"Amérique",IF(OR(ISNUMBER(SEARCH("chinois",B689)),ISNUMBER(SEARCH("japonais",B689)),ISNUMBER(SEARCH("coréen",B689)),ISNUMBER(SEARCH("indien",B689)),ISNUMBER(SEARCH("persan",B689)),ISNUMBER(SEARCH("iranien",B689))),"Asie","(non classée)"))))</f>
        <v/>
      </c>
    </row>
    <row r="690">
      <c r="A690" s="2" t="inlineStr">
        <is>
          <t>TADDEO GADDI</t>
        </is>
      </c>
      <c r="B690" s="2" t="inlineStr">
        <is>
          <t>italienne</t>
        </is>
      </c>
      <c r="C690" s="2" t="inlineStr">
        <is>
          <t>peinture</t>
        </is>
      </c>
      <c r="D690" s="2" t="inlineStr">
        <is>
          <t>14e</t>
        </is>
      </c>
      <c r="U690">
        <f>IF(ISNUMBER(SEARCH("fran",B690)),"France",IF(OR(ISNUMBER(SEARCH("italien",B690)),ISNUMBER(SEARCH("espagn",B690)),ISNUMBER(SEARCH("catalan",B690)),ISNUMBER(SEARCH("flamand",B690)),ISNUMBER(SEARCH("belge",B690)),ISNUMBER(SEARCH("hollandais",B690)),ISNUMBER(SEARCH("néerlandais",B690)),ISNUMBER(SEARCH("allemand",B690)),ISNUMBER(SEARCH("autrichien",B690)),ISNUMBER(SEARCH("suisse",B690)),ISNUMBER(SEARCH("anglais",B690)),ISNUMBER(SEARCH("britannique",B690)),ISNUMBER(SEARCH("écossais",B690)),ISNUMBER(SEARCH("irlandais",B690)),ISNUMBER(SEARCH("russe",B690)),ISNUMBER(SEARCH("portugais",B690)),ISNUMBER(SEARCH("danois",B690)),ISNUMBER(SEARCH("norvégien",B690)),ISNUMBER(SEARCH("suédois",B690)),ISNUMBER(SEARCH("finlandais",B690)),ISNUMBER(SEARCH("polonais",B690)),ISNUMBER(SEARCH("tchèque",B690)),ISNUMBER(SEARCH("hongrois",B690)),ISNUMBER(SEARCH("grec",B690)),ISNUMBER(SEARCH("byzantin",B690)),ISNUMBER(SEARCH("croate",B690)),ISNUMBER(SEARCH("ukrainien",B690)),ISNUMBER(SEARCH("bulgare",B690)),ISNUMBER(SEARCH("biélorusse",B690)),ISNUMBER(SEARCH("maltais",B690))),"Autres pays d'Europe",IF(OR(ISNUMBER(SEARCH("américain",B690)),ISNUMBER(SEARCH("mexicain",B690)),ISNUMBER(SEARCH("canadien",B690)),ISNUMBER(SEARCH("brésilien",B690)),ISNUMBER(SEARCH("argentin",B690))),"Amérique",IF(OR(ISNUMBER(SEARCH("chinois",B690)),ISNUMBER(SEARCH("japonais",B690)),ISNUMBER(SEARCH("coréen",B690)),ISNUMBER(SEARCH("indien",B690)),ISNUMBER(SEARCH("persan",B690)),ISNUMBER(SEARCH("iranien",B690))),"Asie","(non classée)"))))</f>
        <v/>
      </c>
    </row>
    <row r="691">
      <c r="A691" s="2" t="inlineStr">
        <is>
          <t>TADDEO LANDINI</t>
        </is>
      </c>
      <c r="B691" s="2" t="inlineStr">
        <is>
          <t>italienne</t>
        </is>
      </c>
      <c r="C691" s="2" t="inlineStr">
        <is>
          <t>sculpture</t>
        </is>
      </c>
      <c r="D691" s="2" t="inlineStr">
        <is>
          <t>16e</t>
        </is>
      </c>
      <c r="U691">
        <f>IF(ISNUMBER(SEARCH("fran",B691)),"France",IF(OR(ISNUMBER(SEARCH("italien",B691)),ISNUMBER(SEARCH("espagn",B691)),ISNUMBER(SEARCH("catalan",B691)),ISNUMBER(SEARCH("flamand",B691)),ISNUMBER(SEARCH("belge",B691)),ISNUMBER(SEARCH("hollandais",B691)),ISNUMBER(SEARCH("néerlandais",B691)),ISNUMBER(SEARCH("allemand",B691)),ISNUMBER(SEARCH("autrichien",B691)),ISNUMBER(SEARCH("suisse",B691)),ISNUMBER(SEARCH("anglais",B691)),ISNUMBER(SEARCH("britannique",B691)),ISNUMBER(SEARCH("écossais",B691)),ISNUMBER(SEARCH("irlandais",B691)),ISNUMBER(SEARCH("russe",B691)),ISNUMBER(SEARCH("portugais",B691)),ISNUMBER(SEARCH("danois",B691)),ISNUMBER(SEARCH("norvégien",B691)),ISNUMBER(SEARCH("suédois",B691)),ISNUMBER(SEARCH("finlandais",B691)),ISNUMBER(SEARCH("polonais",B691)),ISNUMBER(SEARCH("tchèque",B691)),ISNUMBER(SEARCH("hongrois",B691)),ISNUMBER(SEARCH("grec",B691)),ISNUMBER(SEARCH("byzantin",B691)),ISNUMBER(SEARCH("croate",B691)),ISNUMBER(SEARCH("ukrainien",B691)),ISNUMBER(SEARCH("bulgare",B691)),ISNUMBER(SEARCH("biélorusse",B691)),ISNUMBER(SEARCH("maltais",B691))),"Autres pays d'Europe",IF(OR(ISNUMBER(SEARCH("américain",B691)),ISNUMBER(SEARCH("mexicain",B691)),ISNUMBER(SEARCH("canadien",B691)),ISNUMBER(SEARCH("brésilien",B691)),ISNUMBER(SEARCH("argentin",B691))),"Amérique",IF(OR(ISNUMBER(SEARCH("chinois",B691)),ISNUMBER(SEARCH("japonais",B691)),ISNUMBER(SEARCH("coréen",B691)),ISNUMBER(SEARCH("indien",B691)),ISNUMBER(SEARCH("persan",B691)),ISNUMBER(SEARCH("iranien",B691))),"Asie","(non classée)"))))</f>
        <v/>
      </c>
    </row>
    <row r="692">
      <c r="A692" s="2" t="inlineStr">
        <is>
          <t>TAKAMURA KŌUN</t>
        </is>
      </c>
      <c r="B692" s="2" t="inlineStr">
        <is>
          <t>japonaise</t>
        </is>
      </c>
      <c r="C692" s="2" t="inlineStr">
        <is>
          <t>sculpture</t>
        </is>
      </c>
      <c r="D692" s="2" t="inlineStr">
        <is>
          <t>19e</t>
        </is>
      </c>
      <c r="U692">
        <f>IF(ISNUMBER(SEARCH("fran",B692)),"France",IF(OR(ISNUMBER(SEARCH("italien",B692)),ISNUMBER(SEARCH("espagn",B692)),ISNUMBER(SEARCH("catalan",B692)),ISNUMBER(SEARCH("flamand",B692)),ISNUMBER(SEARCH("belge",B692)),ISNUMBER(SEARCH("hollandais",B692)),ISNUMBER(SEARCH("néerlandais",B692)),ISNUMBER(SEARCH("allemand",B692)),ISNUMBER(SEARCH("autrichien",B692)),ISNUMBER(SEARCH("suisse",B692)),ISNUMBER(SEARCH("anglais",B692)),ISNUMBER(SEARCH("britannique",B692)),ISNUMBER(SEARCH("écossais",B692)),ISNUMBER(SEARCH("irlandais",B692)),ISNUMBER(SEARCH("russe",B692)),ISNUMBER(SEARCH("portugais",B692)),ISNUMBER(SEARCH("danois",B692)),ISNUMBER(SEARCH("norvégien",B692)),ISNUMBER(SEARCH("suédois",B692)),ISNUMBER(SEARCH("finlandais",B692)),ISNUMBER(SEARCH("polonais",B692)),ISNUMBER(SEARCH("tchèque",B692)),ISNUMBER(SEARCH("hongrois",B692)),ISNUMBER(SEARCH("grec",B692)),ISNUMBER(SEARCH("byzantin",B692)),ISNUMBER(SEARCH("croate",B692)),ISNUMBER(SEARCH("ukrainien",B692)),ISNUMBER(SEARCH("bulgare",B692)),ISNUMBER(SEARCH("biélorusse",B692)),ISNUMBER(SEARCH("maltais",B692))),"Autres pays d'Europe",IF(OR(ISNUMBER(SEARCH("américain",B692)),ISNUMBER(SEARCH("mexicain",B692)),ISNUMBER(SEARCH("canadien",B692)),ISNUMBER(SEARCH("brésilien",B692)),ISNUMBER(SEARCH("argentin",B692))),"Amérique",IF(OR(ISNUMBER(SEARCH("chinois",B692)),ISNUMBER(SEARCH("japonais",B692)),ISNUMBER(SEARCH("coréen",B692)),ISNUMBER(SEARCH("indien",B692)),ISNUMBER(SEARCH("persan",B692)),ISNUMBER(SEARCH("iranien",B692))),"Asie","(non classée)"))))</f>
        <v/>
      </c>
    </row>
    <row r="693">
      <c r="A693" s="2" t="inlineStr">
        <is>
          <t>THEO VAN DOESBURG</t>
        </is>
      </c>
      <c r="B693" s="2" t="inlineStr">
        <is>
          <t>hollandaise (Pays-Bas)</t>
        </is>
      </c>
      <c r="C693" s="2" t="inlineStr">
        <is>
          <t>peinture</t>
        </is>
      </c>
      <c r="D693" s="2" t="inlineStr">
        <is>
          <t>20e</t>
        </is>
      </c>
      <c r="U693">
        <f>IF(ISNUMBER(SEARCH("fran",B693)),"France",IF(OR(ISNUMBER(SEARCH("italien",B693)),ISNUMBER(SEARCH("espagn",B693)),ISNUMBER(SEARCH("catalan",B693)),ISNUMBER(SEARCH("flamand",B693)),ISNUMBER(SEARCH("belge",B693)),ISNUMBER(SEARCH("hollandais",B693)),ISNUMBER(SEARCH("néerlandais",B693)),ISNUMBER(SEARCH("allemand",B693)),ISNUMBER(SEARCH("autrichien",B693)),ISNUMBER(SEARCH("suisse",B693)),ISNUMBER(SEARCH("anglais",B693)),ISNUMBER(SEARCH("britannique",B693)),ISNUMBER(SEARCH("écossais",B693)),ISNUMBER(SEARCH("irlandais",B693)),ISNUMBER(SEARCH("russe",B693)),ISNUMBER(SEARCH("portugais",B693)),ISNUMBER(SEARCH("danois",B693)),ISNUMBER(SEARCH("norvégien",B693)),ISNUMBER(SEARCH("suédois",B693)),ISNUMBER(SEARCH("finlandais",B693)),ISNUMBER(SEARCH("polonais",B693)),ISNUMBER(SEARCH("tchèque",B693)),ISNUMBER(SEARCH("hongrois",B693)),ISNUMBER(SEARCH("grec",B693)),ISNUMBER(SEARCH("byzantin",B693)),ISNUMBER(SEARCH("croate",B693)),ISNUMBER(SEARCH("ukrainien",B693)),ISNUMBER(SEARCH("bulgare",B693)),ISNUMBER(SEARCH("biélorusse",B693)),ISNUMBER(SEARCH("maltais",B693))),"Autres pays d'Europe",IF(OR(ISNUMBER(SEARCH("américain",B693)),ISNUMBER(SEARCH("mexicain",B693)),ISNUMBER(SEARCH("canadien",B693)),ISNUMBER(SEARCH("brésilien",B693)),ISNUMBER(SEARCH("argentin",B693))),"Amérique",IF(OR(ISNUMBER(SEARCH("chinois",B693)),ISNUMBER(SEARCH("japonais",B693)),ISNUMBER(SEARCH("coréen",B693)),ISNUMBER(SEARCH("indien",B693)),ISNUMBER(SEARCH("persan",B693)),ISNUMBER(SEARCH("iranien",B693))),"Asie","(non classée)"))))</f>
        <v/>
      </c>
    </row>
    <row r="694">
      <c r="A694" s="2" t="inlineStr">
        <is>
          <t>THEODORIC OF PRAGUE</t>
        </is>
      </c>
      <c r="B694" s="2" t="inlineStr">
        <is>
          <t>italienne</t>
        </is>
      </c>
      <c r="C694" s="2" t="inlineStr">
        <is>
          <t>peinture</t>
        </is>
      </c>
      <c r="D694" s="2" t="inlineStr">
        <is>
          <t>14e</t>
        </is>
      </c>
      <c r="U694">
        <f>IF(ISNUMBER(SEARCH("fran",B694)),"France",IF(OR(ISNUMBER(SEARCH("italien",B694)),ISNUMBER(SEARCH("espagn",B694)),ISNUMBER(SEARCH("catalan",B694)),ISNUMBER(SEARCH("flamand",B694)),ISNUMBER(SEARCH("belge",B694)),ISNUMBER(SEARCH("hollandais",B694)),ISNUMBER(SEARCH("néerlandais",B694)),ISNUMBER(SEARCH("allemand",B694)),ISNUMBER(SEARCH("autrichien",B694)),ISNUMBER(SEARCH("suisse",B694)),ISNUMBER(SEARCH("anglais",B694)),ISNUMBER(SEARCH("britannique",B694)),ISNUMBER(SEARCH("écossais",B694)),ISNUMBER(SEARCH("irlandais",B694)),ISNUMBER(SEARCH("russe",B694)),ISNUMBER(SEARCH("portugais",B694)),ISNUMBER(SEARCH("danois",B694)),ISNUMBER(SEARCH("norvégien",B694)),ISNUMBER(SEARCH("suédois",B694)),ISNUMBER(SEARCH("finlandais",B694)),ISNUMBER(SEARCH("polonais",B694)),ISNUMBER(SEARCH("tchèque",B694)),ISNUMBER(SEARCH("hongrois",B694)),ISNUMBER(SEARCH("grec",B694)),ISNUMBER(SEARCH("byzantin",B694)),ISNUMBER(SEARCH("croate",B694)),ISNUMBER(SEARCH("ukrainien",B694)),ISNUMBER(SEARCH("bulgare",B694)),ISNUMBER(SEARCH("biélorusse",B694)),ISNUMBER(SEARCH("maltais",B694))),"Autres pays d'Europe",IF(OR(ISNUMBER(SEARCH("américain",B694)),ISNUMBER(SEARCH("mexicain",B694)),ISNUMBER(SEARCH("canadien",B694)),ISNUMBER(SEARCH("brésilien",B694)),ISNUMBER(SEARCH("argentin",B694))),"Amérique",IF(OR(ISNUMBER(SEARCH("chinois",B694)),ISNUMBER(SEARCH("japonais",B694)),ISNUMBER(SEARCH("coréen",B694)),ISNUMBER(SEARCH("indien",B694)),ISNUMBER(SEARCH("persan",B694)),ISNUMBER(SEARCH("iranien",B694))),"Asie","(non classée)"))))</f>
        <v/>
      </c>
    </row>
    <row r="695">
      <c r="A695" s="2" t="inlineStr">
        <is>
          <t>THOMAS BALL</t>
        </is>
      </c>
      <c r="B695" s="2" t="inlineStr">
        <is>
          <t>américaine</t>
        </is>
      </c>
      <c r="C695" s="2" t="inlineStr">
        <is>
          <t>sculpture</t>
        </is>
      </c>
      <c r="D695" s="2" t="inlineStr">
        <is>
          <t>19e</t>
        </is>
      </c>
      <c r="U695">
        <f>IF(ISNUMBER(SEARCH("fran",B695)),"France",IF(OR(ISNUMBER(SEARCH("italien",B695)),ISNUMBER(SEARCH("espagn",B695)),ISNUMBER(SEARCH("catalan",B695)),ISNUMBER(SEARCH("flamand",B695)),ISNUMBER(SEARCH("belge",B695)),ISNUMBER(SEARCH("hollandais",B695)),ISNUMBER(SEARCH("néerlandais",B695)),ISNUMBER(SEARCH("allemand",B695)),ISNUMBER(SEARCH("autrichien",B695)),ISNUMBER(SEARCH("suisse",B695)),ISNUMBER(SEARCH("anglais",B695)),ISNUMBER(SEARCH("britannique",B695)),ISNUMBER(SEARCH("écossais",B695)),ISNUMBER(SEARCH("irlandais",B695)),ISNUMBER(SEARCH("russe",B695)),ISNUMBER(SEARCH("portugais",B695)),ISNUMBER(SEARCH("danois",B695)),ISNUMBER(SEARCH("norvégien",B695)),ISNUMBER(SEARCH("suédois",B695)),ISNUMBER(SEARCH("finlandais",B695)),ISNUMBER(SEARCH("polonais",B695)),ISNUMBER(SEARCH("tchèque",B695)),ISNUMBER(SEARCH("hongrois",B695)),ISNUMBER(SEARCH("grec",B695)),ISNUMBER(SEARCH("byzantin",B695)),ISNUMBER(SEARCH("croate",B695)),ISNUMBER(SEARCH("ukrainien",B695)),ISNUMBER(SEARCH("bulgare",B695)),ISNUMBER(SEARCH("biélorusse",B695)),ISNUMBER(SEARCH("maltais",B695))),"Autres pays d'Europe",IF(OR(ISNUMBER(SEARCH("américain",B695)),ISNUMBER(SEARCH("mexicain",B695)),ISNUMBER(SEARCH("canadien",B695)),ISNUMBER(SEARCH("brésilien",B695)),ISNUMBER(SEARCH("argentin",B695))),"Amérique",IF(OR(ISNUMBER(SEARCH("chinois",B695)),ISNUMBER(SEARCH("japonais",B695)),ISNUMBER(SEARCH("coréen",B695)),ISNUMBER(SEARCH("indien",B695)),ISNUMBER(SEARCH("persan",B695)),ISNUMBER(SEARCH("iranien",B695))),"Asie","(non classée)"))))</f>
        <v/>
      </c>
    </row>
    <row r="696">
      <c r="A696" s="2" t="inlineStr">
        <is>
          <t>THOMAS COLE</t>
        </is>
      </c>
      <c r="B696" s="2" t="inlineStr">
        <is>
          <t>américaine</t>
        </is>
      </c>
      <c r="C696" s="2" t="inlineStr">
        <is>
          <t>peinture</t>
        </is>
      </c>
      <c r="D696" s="2" t="inlineStr">
        <is>
          <t>19e</t>
        </is>
      </c>
      <c r="U696">
        <f>IF(ISNUMBER(SEARCH("fran",B696)),"France",IF(OR(ISNUMBER(SEARCH("italien",B696)),ISNUMBER(SEARCH("espagn",B696)),ISNUMBER(SEARCH("catalan",B696)),ISNUMBER(SEARCH("flamand",B696)),ISNUMBER(SEARCH("belge",B696)),ISNUMBER(SEARCH("hollandais",B696)),ISNUMBER(SEARCH("néerlandais",B696)),ISNUMBER(SEARCH("allemand",B696)),ISNUMBER(SEARCH("autrichien",B696)),ISNUMBER(SEARCH("suisse",B696)),ISNUMBER(SEARCH("anglais",B696)),ISNUMBER(SEARCH("britannique",B696)),ISNUMBER(SEARCH("écossais",B696)),ISNUMBER(SEARCH("irlandais",B696)),ISNUMBER(SEARCH("russe",B696)),ISNUMBER(SEARCH("portugais",B696)),ISNUMBER(SEARCH("danois",B696)),ISNUMBER(SEARCH("norvégien",B696)),ISNUMBER(SEARCH("suédois",B696)),ISNUMBER(SEARCH("finlandais",B696)),ISNUMBER(SEARCH("polonais",B696)),ISNUMBER(SEARCH("tchèque",B696)),ISNUMBER(SEARCH("hongrois",B696)),ISNUMBER(SEARCH("grec",B696)),ISNUMBER(SEARCH("byzantin",B696)),ISNUMBER(SEARCH("croate",B696)),ISNUMBER(SEARCH("ukrainien",B696)),ISNUMBER(SEARCH("bulgare",B696)),ISNUMBER(SEARCH("biélorusse",B696)),ISNUMBER(SEARCH("maltais",B696))),"Autres pays d'Europe",IF(OR(ISNUMBER(SEARCH("américain",B696)),ISNUMBER(SEARCH("mexicain",B696)),ISNUMBER(SEARCH("canadien",B696)),ISNUMBER(SEARCH("brésilien",B696)),ISNUMBER(SEARCH("argentin",B696))),"Amérique",IF(OR(ISNUMBER(SEARCH("chinois",B696)),ISNUMBER(SEARCH("japonais",B696)),ISNUMBER(SEARCH("coréen",B696)),ISNUMBER(SEARCH("indien",B696)),ISNUMBER(SEARCH("persan",B696)),ISNUMBER(SEARCH("iranien",B696))),"Asie","(non classée)"))))</f>
        <v/>
      </c>
    </row>
    <row r="697">
      <c r="A697" s="2" t="inlineStr">
        <is>
          <t>THOMAS EAKINS</t>
        </is>
      </c>
      <c r="B697" s="2" t="inlineStr">
        <is>
          <t>américaine</t>
        </is>
      </c>
      <c r="C697" s="2" t="inlineStr">
        <is>
          <t>peinture</t>
        </is>
      </c>
      <c r="D697" s="2" t="inlineStr">
        <is>
          <t>19e</t>
        </is>
      </c>
      <c r="U697">
        <f>IF(ISNUMBER(SEARCH("fran",B697)),"France",IF(OR(ISNUMBER(SEARCH("italien",B697)),ISNUMBER(SEARCH("espagn",B697)),ISNUMBER(SEARCH("catalan",B697)),ISNUMBER(SEARCH("flamand",B697)),ISNUMBER(SEARCH("belge",B697)),ISNUMBER(SEARCH("hollandais",B697)),ISNUMBER(SEARCH("néerlandais",B697)),ISNUMBER(SEARCH("allemand",B697)),ISNUMBER(SEARCH("autrichien",B697)),ISNUMBER(SEARCH("suisse",B697)),ISNUMBER(SEARCH("anglais",B697)),ISNUMBER(SEARCH("britannique",B697)),ISNUMBER(SEARCH("écossais",B697)),ISNUMBER(SEARCH("irlandais",B697)),ISNUMBER(SEARCH("russe",B697)),ISNUMBER(SEARCH("portugais",B697)),ISNUMBER(SEARCH("danois",B697)),ISNUMBER(SEARCH("norvégien",B697)),ISNUMBER(SEARCH("suédois",B697)),ISNUMBER(SEARCH("finlandais",B697)),ISNUMBER(SEARCH("polonais",B697)),ISNUMBER(SEARCH("tchèque",B697)),ISNUMBER(SEARCH("hongrois",B697)),ISNUMBER(SEARCH("grec",B697)),ISNUMBER(SEARCH("byzantin",B697)),ISNUMBER(SEARCH("croate",B697)),ISNUMBER(SEARCH("ukrainien",B697)),ISNUMBER(SEARCH("bulgare",B697)),ISNUMBER(SEARCH("biélorusse",B697)),ISNUMBER(SEARCH("maltais",B697))),"Autres pays d'Europe",IF(OR(ISNUMBER(SEARCH("américain",B697)),ISNUMBER(SEARCH("mexicain",B697)),ISNUMBER(SEARCH("canadien",B697)),ISNUMBER(SEARCH("brésilien",B697)),ISNUMBER(SEARCH("argentin",B697))),"Amérique",IF(OR(ISNUMBER(SEARCH("chinois",B697)),ISNUMBER(SEARCH("japonais",B697)),ISNUMBER(SEARCH("coréen",B697)),ISNUMBER(SEARCH("indien",B697)),ISNUMBER(SEARCH("persan",B697)),ISNUMBER(SEARCH("iranien",B697))),"Asie","(non classée)"))))</f>
        <v/>
      </c>
    </row>
    <row r="698">
      <c r="A698" s="2" t="inlineStr">
        <is>
          <t>THOMAS GAINSBOROUGH</t>
        </is>
      </c>
      <c r="B698" s="2" t="inlineStr">
        <is>
          <t>anglaise (Royaume-Uni)</t>
        </is>
      </c>
      <c r="C698" s="2" t="inlineStr">
        <is>
          <t>peinture</t>
        </is>
      </c>
      <c r="D698" s="2" t="inlineStr">
        <is>
          <t>18e</t>
        </is>
      </c>
      <c r="U698">
        <f>IF(ISNUMBER(SEARCH("fran",B698)),"France",IF(OR(ISNUMBER(SEARCH("italien",B698)),ISNUMBER(SEARCH("espagn",B698)),ISNUMBER(SEARCH("catalan",B698)),ISNUMBER(SEARCH("flamand",B698)),ISNUMBER(SEARCH("belge",B698)),ISNUMBER(SEARCH("hollandais",B698)),ISNUMBER(SEARCH("néerlandais",B698)),ISNUMBER(SEARCH("allemand",B698)),ISNUMBER(SEARCH("autrichien",B698)),ISNUMBER(SEARCH("suisse",B698)),ISNUMBER(SEARCH("anglais",B698)),ISNUMBER(SEARCH("britannique",B698)),ISNUMBER(SEARCH("écossais",B698)),ISNUMBER(SEARCH("irlandais",B698)),ISNUMBER(SEARCH("russe",B698)),ISNUMBER(SEARCH("portugais",B698)),ISNUMBER(SEARCH("danois",B698)),ISNUMBER(SEARCH("norvégien",B698)),ISNUMBER(SEARCH("suédois",B698)),ISNUMBER(SEARCH("finlandais",B698)),ISNUMBER(SEARCH("polonais",B698)),ISNUMBER(SEARCH("tchèque",B698)),ISNUMBER(SEARCH("hongrois",B698)),ISNUMBER(SEARCH("grec",B698)),ISNUMBER(SEARCH("byzantin",B698)),ISNUMBER(SEARCH("croate",B698)),ISNUMBER(SEARCH("ukrainien",B698)),ISNUMBER(SEARCH("bulgare",B698)),ISNUMBER(SEARCH("biélorusse",B698)),ISNUMBER(SEARCH("maltais",B698))),"Autres pays d'Europe",IF(OR(ISNUMBER(SEARCH("américain",B698)),ISNUMBER(SEARCH("mexicain",B698)),ISNUMBER(SEARCH("canadien",B698)),ISNUMBER(SEARCH("brésilien",B698)),ISNUMBER(SEARCH("argentin",B698))),"Amérique",IF(OR(ISNUMBER(SEARCH("chinois",B698)),ISNUMBER(SEARCH("japonais",B698)),ISNUMBER(SEARCH("coréen",B698)),ISNUMBER(SEARCH("indien",B698)),ISNUMBER(SEARCH("persan",B698)),ISNUMBER(SEARCH("iranien",B698))),"Asie","(non classée)"))))</f>
        <v/>
      </c>
    </row>
    <row r="699">
      <c r="A699" s="2" t="inlineStr">
        <is>
          <t>THOMAS LAWRENCE</t>
        </is>
      </c>
      <c r="B699" s="2" t="inlineStr">
        <is>
          <t>anglaise (Royaume-Uni)</t>
        </is>
      </c>
      <c r="C699" s="2" t="inlineStr">
        <is>
          <t>peinture</t>
        </is>
      </c>
      <c r="D699" s="2" t="inlineStr">
        <is>
          <t>18e</t>
        </is>
      </c>
      <c r="U699">
        <f>IF(ISNUMBER(SEARCH("fran",B699)),"France",IF(OR(ISNUMBER(SEARCH("italien",B699)),ISNUMBER(SEARCH("espagn",B699)),ISNUMBER(SEARCH("catalan",B699)),ISNUMBER(SEARCH("flamand",B699)),ISNUMBER(SEARCH("belge",B699)),ISNUMBER(SEARCH("hollandais",B699)),ISNUMBER(SEARCH("néerlandais",B699)),ISNUMBER(SEARCH("allemand",B699)),ISNUMBER(SEARCH("autrichien",B699)),ISNUMBER(SEARCH("suisse",B699)),ISNUMBER(SEARCH("anglais",B699)),ISNUMBER(SEARCH("britannique",B699)),ISNUMBER(SEARCH("écossais",B699)),ISNUMBER(SEARCH("irlandais",B699)),ISNUMBER(SEARCH("russe",B699)),ISNUMBER(SEARCH("portugais",B699)),ISNUMBER(SEARCH("danois",B699)),ISNUMBER(SEARCH("norvégien",B699)),ISNUMBER(SEARCH("suédois",B699)),ISNUMBER(SEARCH("finlandais",B699)),ISNUMBER(SEARCH("polonais",B699)),ISNUMBER(SEARCH("tchèque",B699)),ISNUMBER(SEARCH("hongrois",B699)),ISNUMBER(SEARCH("grec",B699)),ISNUMBER(SEARCH("byzantin",B699)),ISNUMBER(SEARCH("croate",B699)),ISNUMBER(SEARCH("ukrainien",B699)),ISNUMBER(SEARCH("bulgare",B699)),ISNUMBER(SEARCH("biélorusse",B699)),ISNUMBER(SEARCH("maltais",B699))),"Autres pays d'Europe",IF(OR(ISNUMBER(SEARCH("américain",B699)),ISNUMBER(SEARCH("mexicain",B699)),ISNUMBER(SEARCH("canadien",B699)),ISNUMBER(SEARCH("brésilien",B699)),ISNUMBER(SEARCH("argentin",B699))),"Amérique",IF(OR(ISNUMBER(SEARCH("chinois",B699)),ISNUMBER(SEARCH("japonais",B699)),ISNUMBER(SEARCH("coréen",B699)),ISNUMBER(SEARCH("indien",B699)),ISNUMBER(SEARCH("persan",B699)),ISNUMBER(SEARCH("iranien",B699))),"Asie","(non classée)"))))</f>
        <v/>
      </c>
    </row>
    <row r="700">
      <c r="A700" s="2" t="inlineStr">
        <is>
          <t>THOMAS REGNAUDIN</t>
        </is>
      </c>
      <c r="B700" s="2" t="inlineStr">
        <is>
          <t>française</t>
        </is>
      </c>
      <c r="C700" s="2" t="inlineStr">
        <is>
          <t>sculpture</t>
        </is>
      </c>
      <c r="D700" s="2" t="inlineStr">
        <is>
          <t>17e</t>
        </is>
      </c>
      <c r="U700">
        <f>IF(ISNUMBER(SEARCH("fran",B700)),"France",IF(OR(ISNUMBER(SEARCH("italien",B700)),ISNUMBER(SEARCH("espagn",B700)),ISNUMBER(SEARCH("catalan",B700)),ISNUMBER(SEARCH("flamand",B700)),ISNUMBER(SEARCH("belge",B700)),ISNUMBER(SEARCH("hollandais",B700)),ISNUMBER(SEARCH("néerlandais",B700)),ISNUMBER(SEARCH("allemand",B700)),ISNUMBER(SEARCH("autrichien",B700)),ISNUMBER(SEARCH("suisse",B700)),ISNUMBER(SEARCH("anglais",B700)),ISNUMBER(SEARCH("britannique",B700)),ISNUMBER(SEARCH("écossais",B700)),ISNUMBER(SEARCH("irlandais",B700)),ISNUMBER(SEARCH("russe",B700)),ISNUMBER(SEARCH("portugais",B700)),ISNUMBER(SEARCH("danois",B700)),ISNUMBER(SEARCH("norvégien",B700)),ISNUMBER(SEARCH("suédois",B700)),ISNUMBER(SEARCH("finlandais",B700)),ISNUMBER(SEARCH("polonais",B700)),ISNUMBER(SEARCH("tchèque",B700)),ISNUMBER(SEARCH("hongrois",B700)),ISNUMBER(SEARCH("grec",B700)),ISNUMBER(SEARCH("byzantin",B700)),ISNUMBER(SEARCH("croate",B700)),ISNUMBER(SEARCH("ukrainien",B700)),ISNUMBER(SEARCH("bulgare",B700)),ISNUMBER(SEARCH("biélorusse",B700)),ISNUMBER(SEARCH("maltais",B700))),"Autres pays d'Europe",IF(OR(ISNUMBER(SEARCH("américain",B700)),ISNUMBER(SEARCH("mexicain",B700)),ISNUMBER(SEARCH("canadien",B700)),ISNUMBER(SEARCH("brésilien",B700)),ISNUMBER(SEARCH("argentin",B700))),"Amérique",IF(OR(ISNUMBER(SEARCH("chinois",B700)),ISNUMBER(SEARCH("japonais",B700)),ISNUMBER(SEARCH("coréen",B700)),ISNUMBER(SEARCH("indien",B700)),ISNUMBER(SEARCH("persan",B700)),ISNUMBER(SEARCH("iranien",B700))),"Asie","(non classée)"))))</f>
        <v/>
      </c>
    </row>
    <row r="701">
      <c r="A701" s="2" t="inlineStr">
        <is>
          <t>THÉO VAN RYSSELBERGHE</t>
        </is>
      </c>
      <c r="B701" s="2" t="inlineStr">
        <is>
          <t>française</t>
        </is>
      </c>
      <c r="C701" s="2" t="inlineStr">
        <is>
          <t>peinture</t>
        </is>
      </c>
      <c r="D701" s="2" t="inlineStr">
        <is>
          <t>19e</t>
        </is>
      </c>
      <c r="U701">
        <f>IF(ISNUMBER(SEARCH("fran",B701)),"France",IF(OR(ISNUMBER(SEARCH("italien",B701)),ISNUMBER(SEARCH("espagn",B701)),ISNUMBER(SEARCH("catalan",B701)),ISNUMBER(SEARCH("flamand",B701)),ISNUMBER(SEARCH("belge",B701)),ISNUMBER(SEARCH("hollandais",B701)),ISNUMBER(SEARCH("néerlandais",B701)),ISNUMBER(SEARCH("allemand",B701)),ISNUMBER(SEARCH("autrichien",B701)),ISNUMBER(SEARCH("suisse",B701)),ISNUMBER(SEARCH("anglais",B701)),ISNUMBER(SEARCH("britannique",B701)),ISNUMBER(SEARCH("écossais",B701)),ISNUMBER(SEARCH("irlandais",B701)),ISNUMBER(SEARCH("russe",B701)),ISNUMBER(SEARCH("portugais",B701)),ISNUMBER(SEARCH("danois",B701)),ISNUMBER(SEARCH("norvégien",B701)),ISNUMBER(SEARCH("suédois",B701)),ISNUMBER(SEARCH("finlandais",B701)),ISNUMBER(SEARCH("polonais",B701)),ISNUMBER(SEARCH("tchèque",B701)),ISNUMBER(SEARCH("hongrois",B701)),ISNUMBER(SEARCH("grec",B701)),ISNUMBER(SEARCH("byzantin",B701)),ISNUMBER(SEARCH("croate",B701)),ISNUMBER(SEARCH("ukrainien",B701)),ISNUMBER(SEARCH("bulgare",B701)),ISNUMBER(SEARCH("biélorusse",B701)),ISNUMBER(SEARCH("maltais",B701))),"Autres pays d'Europe",IF(OR(ISNUMBER(SEARCH("américain",B701)),ISNUMBER(SEARCH("mexicain",B701)),ISNUMBER(SEARCH("canadien",B701)),ISNUMBER(SEARCH("brésilien",B701)),ISNUMBER(SEARCH("argentin",B701))),"Amérique",IF(OR(ISNUMBER(SEARCH("chinois",B701)),ISNUMBER(SEARCH("japonais",B701)),ISNUMBER(SEARCH("coréen",B701)),ISNUMBER(SEARCH("indien",B701)),ISNUMBER(SEARCH("persan",B701)),ISNUMBER(SEARCH("iranien",B701))),"Asie","(non classée)"))))</f>
        <v/>
      </c>
    </row>
    <row r="702">
      <c r="A702" s="2" t="inlineStr">
        <is>
          <t>THÉODORE GÉRICAULT</t>
        </is>
      </c>
      <c r="B702" s="2" t="inlineStr">
        <is>
          <t>française</t>
        </is>
      </c>
      <c r="C702" s="2" t="inlineStr">
        <is>
          <t>peinture</t>
        </is>
      </c>
      <c r="D702" s="2" t="inlineStr">
        <is>
          <t>19e</t>
        </is>
      </c>
      <c r="U702">
        <f>IF(ISNUMBER(SEARCH("fran",B702)),"France",IF(OR(ISNUMBER(SEARCH("italien",B702)),ISNUMBER(SEARCH("espagn",B702)),ISNUMBER(SEARCH("catalan",B702)),ISNUMBER(SEARCH("flamand",B702)),ISNUMBER(SEARCH("belge",B702)),ISNUMBER(SEARCH("hollandais",B702)),ISNUMBER(SEARCH("néerlandais",B702)),ISNUMBER(SEARCH("allemand",B702)),ISNUMBER(SEARCH("autrichien",B702)),ISNUMBER(SEARCH("suisse",B702)),ISNUMBER(SEARCH("anglais",B702)),ISNUMBER(SEARCH("britannique",B702)),ISNUMBER(SEARCH("écossais",B702)),ISNUMBER(SEARCH("irlandais",B702)),ISNUMBER(SEARCH("russe",B702)),ISNUMBER(SEARCH("portugais",B702)),ISNUMBER(SEARCH("danois",B702)),ISNUMBER(SEARCH("norvégien",B702)),ISNUMBER(SEARCH("suédois",B702)),ISNUMBER(SEARCH("finlandais",B702)),ISNUMBER(SEARCH("polonais",B702)),ISNUMBER(SEARCH("tchèque",B702)),ISNUMBER(SEARCH("hongrois",B702)),ISNUMBER(SEARCH("grec",B702)),ISNUMBER(SEARCH("byzantin",B702)),ISNUMBER(SEARCH("croate",B702)),ISNUMBER(SEARCH("ukrainien",B702)),ISNUMBER(SEARCH("bulgare",B702)),ISNUMBER(SEARCH("biélorusse",B702)),ISNUMBER(SEARCH("maltais",B702))),"Autres pays d'Europe",IF(OR(ISNUMBER(SEARCH("américain",B702)),ISNUMBER(SEARCH("mexicain",B702)),ISNUMBER(SEARCH("canadien",B702)),ISNUMBER(SEARCH("brésilien",B702)),ISNUMBER(SEARCH("argentin",B702))),"Amérique",IF(OR(ISNUMBER(SEARCH("chinois",B702)),ISNUMBER(SEARCH("japonais",B702)),ISNUMBER(SEARCH("coréen",B702)),ISNUMBER(SEARCH("indien",B702)),ISNUMBER(SEARCH("persan",B702)),ISNUMBER(SEARCH("iranien",B702))),"Asie","(non classée)"))))</f>
        <v/>
      </c>
    </row>
    <row r="703">
      <c r="A703" s="2" t="inlineStr">
        <is>
          <t>THÉODORE ROUSSEAU</t>
        </is>
      </c>
      <c r="B703" s="2" t="inlineStr">
        <is>
          <t>française</t>
        </is>
      </c>
      <c r="C703" s="2" t="inlineStr">
        <is>
          <t>peinture</t>
        </is>
      </c>
      <c r="D703" s="2" t="inlineStr">
        <is>
          <t>19e</t>
        </is>
      </c>
      <c r="U703">
        <f>IF(ISNUMBER(SEARCH("fran",B703)),"France",IF(OR(ISNUMBER(SEARCH("italien",B703)),ISNUMBER(SEARCH("espagn",B703)),ISNUMBER(SEARCH("catalan",B703)),ISNUMBER(SEARCH("flamand",B703)),ISNUMBER(SEARCH("belge",B703)),ISNUMBER(SEARCH("hollandais",B703)),ISNUMBER(SEARCH("néerlandais",B703)),ISNUMBER(SEARCH("allemand",B703)),ISNUMBER(SEARCH("autrichien",B703)),ISNUMBER(SEARCH("suisse",B703)),ISNUMBER(SEARCH("anglais",B703)),ISNUMBER(SEARCH("britannique",B703)),ISNUMBER(SEARCH("écossais",B703)),ISNUMBER(SEARCH("irlandais",B703)),ISNUMBER(SEARCH("russe",B703)),ISNUMBER(SEARCH("portugais",B703)),ISNUMBER(SEARCH("danois",B703)),ISNUMBER(SEARCH("norvégien",B703)),ISNUMBER(SEARCH("suédois",B703)),ISNUMBER(SEARCH("finlandais",B703)),ISNUMBER(SEARCH("polonais",B703)),ISNUMBER(SEARCH("tchèque",B703)),ISNUMBER(SEARCH("hongrois",B703)),ISNUMBER(SEARCH("grec",B703)),ISNUMBER(SEARCH("byzantin",B703)),ISNUMBER(SEARCH("croate",B703)),ISNUMBER(SEARCH("ukrainien",B703)),ISNUMBER(SEARCH("bulgare",B703)),ISNUMBER(SEARCH("biélorusse",B703)),ISNUMBER(SEARCH("maltais",B703))),"Autres pays d'Europe",IF(OR(ISNUMBER(SEARCH("américain",B703)),ISNUMBER(SEARCH("mexicain",B703)),ISNUMBER(SEARCH("canadien",B703)),ISNUMBER(SEARCH("brésilien",B703)),ISNUMBER(SEARCH("argentin",B703))),"Amérique",IF(OR(ISNUMBER(SEARCH("chinois",B703)),ISNUMBER(SEARCH("japonais",B703)),ISNUMBER(SEARCH("coréen",B703)),ISNUMBER(SEARCH("indien",B703)),ISNUMBER(SEARCH("persan",B703)),ISNUMBER(SEARCH("iranien",B703))),"Asie","(non classée)"))))</f>
        <v/>
      </c>
    </row>
    <row r="704">
      <c r="A704" s="2" t="inlineStr">
        <is>
          <t>THÉOPHANE LE GREC</t>
        </is>
      </c>
      <c r="B704" s="2" t="inlineStr">
        <is>
          <t>grecque</t>
        </is>
      </c>
      <c r="C704" s="2" t="inlineStr">
        <is>
          <t>peinture</t>
        </is>
      </c>
      <c r="D704" s="2" t="inlineStr">
        <is>
          <t>14e</t>
        </is>
      </c>
      <c r="U704">
        <f>IF(ISNUMBER(SEARCH("fran",B704)),"France",IF(OR(ISNUMBER(SEARCH("italien",B704)),ISNUMBER(SEARCH("espagn",B704)),ISNUMBER(SEARCH("catalan",B704)),ISNUMBER(SEARCH("flamand",B704)),ISNUMBER(SEARCH("belge",B704)),ISNUMBER(SEARCH("hollandais",B704)),ISNUMBER(SEARCH("néerlandais",B704)),ISNUMBER(SEARCH("allemand",B704)),ISNUMBER(SEARCH("autrichien",B704)),ISNUMBER(SEARCH("suisse",B704)),ISNUMBER(SEARCH("anglais",B704)),ISNUMBER(SEARCH("britannique",B704)),ISNUMBER(SEARCH("écossais",B704)),ISNUMBER(SEARCH("irlandais",B704)),ISNUMBER(SEARCH("russe",B704)),ISNUMBER(SEARCH("portugais",B704)),ISNUMBER(SEARCH("danois",B704)),ISNUMBER(SEARCH("norvégien",B704)),ISNUMBER(SEARCH("suédois",B704)),ISNUMBER(SEARCH("finlandais",B704)),ISNUMBER(SEARCH("polonais",B704)),ISNUMBER(SEARCH("tchèque",B704)),ISNUMBER(SEARCH("hongrois",B704)),ISNUMBER(SEARCH("grec",B704)),ISNUMBER(SEARCH("byzantin",B704)),ISNUMBER(SEARCH("croate",B704)),ISNUMBER(SEARCH("ukrainien",B704)),ISNUMBER(SEARCH("bulgare",B704)),ISNUMBER(SEARCH("biélorusse",B704)),ISNUMBER(SEARCH("maltais",B704))),"Autres pays d'Europe",IF(OR(ISNUMBER(SEARCH("américain",B704)),ISNUMBER(SEARCH("mexicain",B704)),ISNUMBER(SEARCH("canadien",B704)),ISNUMBER(SEARCH("brésilien",B704)),ISNUMBER(SEARCH("argentin",B704))),"Amérique",IF(OR(ISNUMBER(SEARCH("chinois",B704)),ISNUMBER(SEARCH("japonais",B704)),ISNUMBER(SEARCH("coréen",B704)),ISNUMBER(SEARCH("indien",B704)),ISNUMBER(SEARCH("persan",B704)),ISNUMBER(SEARCH("iranien",B704))),"Asie","(non classée)"))))</f>
        <v/>
      </c>
    </row>
    <row r="705">
      <c r="A705" s="2" t="inlineStr">
        <is>
          <t>TILMAN RIEMENSCHNEIDER</t>
        </is>
      </c>
      <c r="B705" s="2" t="inlineStr">
        <is>
          <t>allemande</t>
        </is>
      </c>
      <c r="C705" s="2" t="inlineStr">
        <is>
          <t>sculpture</t>
        </is>
      </c>
      <c r="D705" s="2" t="inlineStr">
        <is>
          <t>15e, 16e</t>
        </is>
      </c>
      <c r="U705">
        <f>IF(ISNUMBER(SEARCH("fran",B705)),"France",IF(OR(ISNUMBER(SEARCH("italien",B705)),ISNUMBER(SEARCH("espagn",B705)),ISNUMBER(SEARCH("catalan",B705)),ISNUMBER(SEARCH("flamand",B705)),ISNUMBER(SEARCH("belge",B705)),ISNUMBER(SEARCH("hollandais",B705)),ISNUMBER(SEARCH("néerlandais",B705)),ISNUMBER(SEARCH("allemand",B705)),ISNUMBER(SEARCH("autrichien",B705)),ISNUMBER(SEARCH("suisse",B705)),ISNUMBER(SEARCH("anglais",B705)),ISNUMBER(SEARCH("britannique",B705)),ISNUMBER(SEARCH("écossais",B705)),ISNUMBER(SEARCH("irlandais",B705)),ISNUMBER(SEARCH("russe",B705)),ISNUMBER(SEARCH("portugais",B705)),ISNUMBER(SEARCH("danois",B705)),ISNUMBER(SEARCH("norvégien",B705)),ISNUMBER(SEARCH("suédois",B705)),ISNUMBER(SEARCH("finlandais",B705)),ISNUMBER(SEARCH("polonais",B705)),ISNUMBER(SEARCH("tchèque",B705)),ISNUMBER(SEARCH("hongrois",B705)),ISNUMBER(SEARCH("grec",B705)),ISNUMBER(SEARCH("byzantin",B705)),ISNUMBER(SEARCH("croate",B705)),ISNUMBER(SEARCH("ukrainien",B705)),ISNUMBER(SEARCH("bulgare",B705)),ISNUMBER(SEARCH("biélorusse",B705)),ISNUMBER(SEARCH("maltais",B705))),"Autres pays d'Europe",IF(OR(ISNUMBER(SEARCH("américain",B705)),ISNUMBER(SEARCH("mexicain",B705)),ISNUMBER(SEARCH("canadien",B705)),ISNUMBER(SEARCH("brésilien",B705)),ISNUMBER(SEARCH("argentin",B705))),"Amérique",IF(OR(ISNUMBER(SEARCH("chinois",B705)),ISNUMBER(SEARCH("japonais",B705)),ISNUMBER(SEARCH("coréen",B705)),ISNUMBER(SEARCH("indien",B705)),ISNUMBER(SEARCH("persan",B705)),ISNUMBER(SEARCH("iranien",B705))),"Asie","(non classée)"))))</f>
        <v/>
      </c>
    </row>
    <row r="706">
      <c r="A706" s="2" t="inlineStr">
        <is>
          <t>TINO DI CAMAINO</t>
        </is>
      </c>
      <c r="B706" s="2" t="inlineStr">
        <is>
          <t>italienne</t>
        </is>
      </c>
      <c r="C706" s="2" t="inlineStr">
        <is>
          <t>sculpture</t>
        </is>
      </c>
      <c r="D706" s="2" t="inlineStr">
        <is>
          <t>14e</t>
        </is>
      </c>
      <c r="U706">
        <f>IF(ISNUMBER(SEARCH("fran",B706)),"France",IF(OR(ISNUMBER(SEARCH("italien",B706)),ISNUMBER(SEARCH("espagn",B706)),ISNUMBER(SEARCH("catalan",B706)),ISNUMBER(SEARCH("flamand",B706)),ISNUMBER(SEARCH("belge",B706)),ISNUMBER(SEARCH("hollandais",B706)),ISNUMBER(SEARCH("néerlandais",B706)),ISNUMBER(SEARCH("allemand",B706)),ISNUMBER(SEARCH("autrichien",B706)),ISNUMBER(SEARCH("suisse",B706)),ISNUMBER(SEARCH("anglais",B706)),ISNUMBER(SEARCH("britannique",B706)),ISNUMBER(SEARCH("écossais",B706)),ISNUMBER(SEARCH("irlandais",B706)),ISNUMBER(SEARCH("russe",B706)),ISNUMBER(SEARCH("portugais",B706)),ISNUMBER(SEARCH("danois",B706)),ISNUMBER(SEARCH("norvégien",B706)),ISNUMBER(SEARCH("suédois",B706)),ISNUMBER(SEARCH("finlandais",B706)),ISNUMBER(SEARCH("polonais",B706)),ISNUMBER(SEARCH("tchèque",B706)),ISNUMBER(SEARCH("hongrois",B706)),ISNUMBER(SEARCH("grec",B706)),ISNUMBER(SEARCH("byzantin",B706)),ISNUMBER(SEARCH("croate",B706)),ISNUMBER(SEARCH("ukrainien",B706)),ISNUMBER(SEARCH("bulgare",B706)),ISNUMBER(SEARCH("biélorusse",B706)),ISNUMBER(SEARCH("maltais",B706))),"Autres pays d'Europe",IF(OR(ISNUMBER(SEARCH("américain",B706)),ISNUMBER(SEARCH("mexicain",B706)),ISNUMBER(SEARCH("canadien",B706)),ISNUMBER(SEARCH("brésilien",B706)),ISNUMBER(SEARCH("argentin",B706))),"Amérique",IF(OR(ISNUMBER(SEARCH("chinois",B706)),ISNUMBER(SEARCH("japonais",B706)),ISNUMBER(SEARCH("coréen",B706)),ISNUMBER(SEARCH("indien",B706)),ISNUMBER(SEARCH("persan",B706)),ISNUMBER(SEARCH("iranien",B706))),"Asie","(non classée)"))))</f>
        <v/>
      </c>
    </row>
    <row r="707">
      <c r="A707" s="2" t="inlineStr">
        <is>
          <t>TIZIANO ASPETTI</t>
        </is>
      </c>
      <c r="B707" s="2" t="inlineStr">
        <is>
          <t>italienne</t>
        </is>
      </c>
      <c r="C707" s="2" t="inlineStr">
        <is>
          <t>sculpture</t>
        </is>
      </c>
      <c r="D707" s="2" t="inlineStr">
        <is>
          <t>16e</t>
        </is>
      </c>
      <c r="U707">
        <f>IF(ISNUMBER(SEARCH("fran",B707)),"France",IF(OR(ISNUMBER(SEARCH("italien",B707)),ISNUMBER(SEARCH("espagn",B707)),ISNUMBER(SEARCH("catalan",B707)),ISNUMBER(SEARCH("flamand",B707)),ISNUMBER(SEARCH("belge",B707)),ISNUMBER(SEARCH("hollandais",B707)),ISNUMBER(SEARCH("néerlandais",B707)),ISNUMBER(SEARCH("allemand",B707)),ISNUMBER(SEARCH("autrichien",B707)),ISNUMBER(SEARCH("suisse",B707)),ISNUMBER(SEARCH("anglais",B707)),ISNUMBER(SEARCH("britannique",B707)),ISNUMBER(SEARCH("écossais",B707)),ISNUMBER(SEARCH("irlandais",B707)),ISNUMBER(SEARCH("russe",B707)),ISNUMBER(SEARCH("portugais",B707)),ISNUMBER(SEARCH("danois",B707)),ISNUMBER(SEARCH("norvégien",B707)),ISNUMBER(SEARCH("suédois",B707)),ISNUMBER(SEARCH("finlandais",B707)),ISNUMBER(SEARCH("polonais",B707)),ISNUMBER(SEARCH("tchèque",B707)),ISNUMBER(SEARCH("hongrois",B707)),ISNUMBER(SEARCH("grec",B707)),ISNUMBER(SEARCH("byzantin",B707)),ISNUMBER(SEARCH("croate",B707)),ISNUMBER(SEARCH("ukrainien",B707)),ISNUMBER(SEARCH("bulgare",B707)),ISNUMBER(SEARCH("biélorusse",B707)),ISNUMBER(SEARCH("maltais",B707))),"Autres pays d'Europe",IF(OR(ISNUMBER(SEARCH("américain",B707)),ISNUMBER(SEARCH("mexicain",B707)),ISNUMBER(SEARCH("canadien",B707)),ISNUMBER(SEARCH("brésilien",B707)),ISNUMBER(SEARCH("argentin",B707))),"Amérique",IF(OR(ISNUMBER(SEARCH("chinois",B707)),ISNUMBER(SEARCH("japonais",B707)),ISNUMBER(SEARCH("coréen",B707)),ISNUMBER(SEARCH("indien",B707)),ISNUMBER(SEARCH("persan",B707)),ISNUMBER(SEARCH("iranien",B707))),"Asie","(non classée)"))))</f>
        <v/>
      </c>
    </row>
    <row r="708">
      <c r="A708" s="2" t="inlineStr">
        <is>
          <t>TOMMASO DA MODENA</t>
        </is>
      </c>
      <c r="B708" s="2" t="inlineStr">
        <is>
          <t>italienne</t>
        </is>
      </c>
      <c r="C708" s="2" t="inlineStr">
        <is>
          <t>peinture</t>
        </is>
      </c>
      <c r="D708" s="2" t="inlineStr">
        <is>
          <t>14e</t>
        </is>
      </c>
      <c r="U708">
        <f>IF(ISNUMBER(SEARCH("fran",B708)),"France",IF(OR(ISNUMBER(SEARCH("italien",B708)),ISNUMBER(SEARCH("espagn",B708)),ISNUMBER(SEARCH("catalan",B708)),ISNUMBER(SEARCH("flamand",B708)),ISNUMBER(SEARCH("belge",B708)),ISNUMBER(SEARCH("hollandais",B708)),ISNUMBER(SEARCH("néerlandais",B708)),ISNUMBER(SEARCH("allemand",B708)),ISNUMBER(SEARCH("autrichien",B708)),ISNUMBER(SEARCH("suisse",B708)),ISNUMBER(SEARCH("anglais",B708)),ISNUMBER(SEARCH("britannique",B708)),ISNUMBER(SEARCH("écossais",B708)),ISNUMBER(SEARCH("irlandais",B708)),ISNUMBER(SEARCH("russe",B708)),ISNUMBER(SEARCH("portugais",B708)),ISNUMBER(SEARCH("danois",B708)),ISNUMBER(SEARCH("norvégien",B708)),ISNUMBER(SEARCH("suédois",B708)),ISNUMBER(SEARCH("finlandais",B708)),ISNUMBER(SEARCH("polonais",B708)),ISNUMBER(SEARCH("tchèque",B708)),ISNUMBER(SEARCH("hongrois",B708)),ISNUMBER(SEARCH("grec",B708)),ISNUMBER(SEARCH("byzantin",B708)),ISNUMBER(SEARCH("croate",B708)),ISNUMBER(SEARCH("ukrainien",B708)),ISNUMBER(SEARCH("bulgare",B708)),ISNUMBER(SEARCH("biélorusse",B708)),ISNUMBER(SEARCH("maltais",B708))),"Autres pays d'Europe",IF(OR(ISNUMBER(SEARCH("américain",B708)),ISNUMBER(SEARCH("mexicain",B708)),ISNUMBER(SEARCH("canadien",B708)),ISNUMBER(SEARCH("brésilien",B708)),ISNUMBER(SEARCH("argentin",B708))),"Amérique",IF(OR(ISNUMBER(SEARCH("chinois",B708)),ISNUMBER(SEARCH("japonais",B708)),ISNUMBER(SEARCH("coréen",B708)),ISNUMBER(SEARCH("indien",B708)),ISNUMBER(SEARCH("persan",B708)),ISNUMBER(SEARCH("iranien",B708))),"Asie","(non classée)"))))</f>
        <v/>
      </c>
    </row>
    <row r="709">
      <c r="A709" s="2" t="inlineStr">
        <is>
          <t>UGOLINO DI NERIO</t>
        </is>
      </c>
      <c r="B709" s="2" t="inlineStr">
        <is>
          <t>italienne</t>
        </is>
      </c>
      <c r="C709" s="2" t="inlineStr">
        <is>
          <t>peinture</t>
        </is>
      </c>
      <c r="D709" s="2" t="inlineStr">
        <is>
          <t>14e</t>
        </is>
      </c>
      <c r="U709">
        <f>IF(ISNUMBER(SEARCH("fran",B709)),"France",IF(OR(ISNUMBER(SEARCH("italien",B709)),ISNUMBER(SEARCH("espagn",B709)),ISNUMBER(SEARCH("catalan",B709)),ISNUMBER(SEARCH("flamand",B709)),ISNUMBER(SEARCH("belge",B709)),ISNUMBER(SEARCH("hollandais",B709)),ISNUMBER(SEARCH("néerlandais",B709)),ISNUMBER(SEARCH("allemand",B709)),ISNUMBER(SEARCH("autrichien",B709)),ISNUMBER(SEARCH("suisse",B709)),ISNUMBER(SEARCH("anglais",B709)),ISNUMBER(SEARCH("britannique",B709)),ISNUMBER(SEARCH("écossais",B709)),ISNUMBER(SEARCH("irlandais",B709)),ISNUMBER(SEARCH("russe",B709)),ISNUMBER(SEARCH("portugais",B709)),ISNUMBER(SEARCH("danois",B709)),ISNUMBER(SEARCH("norvégien",B709)),ISNUMBER(SEARCH("suédois",B709)),ISNUMBER(SEARCH("finlandais",B709)),ISNUMBER(SEARCH("polonais",B709)),ISNUMBER(SEARCH("tchèque",B709)),ISNUMBER(SEARCH("hongrois",B709)),ISNUMBER(SEARCH("grec",B709)),ISNUMBER(SEARCH("byzantin",B709)),ISNUMBER(SEARCH("croate",B709)),ISNUMBER(SEARCH("ukrainien",B709)),ISNUMBER(SEARCH("bulgare",B709)),ISNUMBER(SEARCH("biélorusse",B709)),ISNUMBER(SEARCH("maltais",B709))),"Autres pays d'Europe",IF(OR(ISNUMBER(SEARCH("américain",B709)),ISNUMBER(SEARCH("mexicain",B709)),ISNUMBER(SEARCH("canadien",B709)),ISNUMBER(SEARCH("brésilien",B709)),ISNUMBER(SEARCH("argentin",B709))),"Amérique",IF(OR(ISNUMBER(SEARCH("chinois",B709)),ISNUMBER(SEARCH("japonais",B709)),ISNUMBER(SEARCH("coréen",B709)),ISNUMBER(SEARCH("indien",B709)),ISNUMBER(SEARCH("persan",B709)),ISNUMBER(SEARCH("iranien",B709))),"Asie","(non classée)"))))</f>
        <v/>
      </c>
    </row>
    <row r="710">
      <c r="A710" s="2" t="inlineStr">
        <is>
          <t>UMBERTO BOCCIONI</t>
        </is>
      </c>
      <c r="B710" s="2" t="inlineStr">
        <is>
          <t>italienne</t>
        </is>
      </c>
      <c r="C710" s="2" t="inlineStr">
        <is>
          <t>peinture</t>
        </is>
      </c>
      <c r="D710" s="2" t="inlineStr">
        <is>
          <t>20e</t>
        </is>
      </c>
      <c r="U710">
        <f>IF(ISNUMBER(SEARCH("fran",B710)),"France",IF(OR(ISNUMBER(SEARCH("italien",B710)),ISNUMBER(SEARCH("espagn",B710)),ISNUMBER(SEARCH("catalan",B710)),ISNUMBER(SEARCH("flamand",B710)),ISNUMBER(SEARCH("belge",B710)),ISNUMBER(SEARCH("hollandais",B710)),ISNUMBER(SEARCH("néerlandais",B710)),ISNUMBER(SEARCH("allemand",B710)),ISNUMBER(SEARCH("autrichien",B710)),ISNUMBER(SEARCH("suisse",B710)),ISNUMBER(SEARCH("anglais",B710)),ISNUMBER(SEARCH("britannique",B710)),ISNUMBER(SEARCH("écossais",B710)),ISNUMBER(SEARCH("irlandais",B710)),ISNUMBER(SEARCH("russe",B710)),ISNUMBER(SEARCH("portugais",B710)),ISNUMBER(SEARCH("danois",B710)),ISNUMBER(SEARCH("norvégien",B710)),ISNUMBER(SEARCH("suédois",B710)),ISNUMBER(SEARCH("finlandais",B710)),ISNUMBER(SEARCH("polonais",B710)),ISNUMBER(SEARCH("tchèque",B710)),ISNUMBER(SEARCH("hongrois",B710)),ISNUMBER(SEARCH("grec",B710)),ISNUMBER(SEARCH("byzantin",B710)),ISNUMBER(SEARCH("croate",B710)),ISNUMBER(SEARCH("ukrainien",B710)),ISNUMBER(SEARCH("bulgare",B710)),ISNUMBER(SEARCH("biélorusse",B710)),ISNUMBER(SEARCH("maltais",B710))),"Autres pays d'Europe",IF(OR(ISNUMBER(SEARCH("américain",B710)),ISNUMBER(SEARCH("mexicain",B710)),ISNUMBER(SEARCH("canadien",B710)),ISNUMBER(SEARCH("brésilien",B710)),ISNUMBER(SEARCH("argentin",B710))),"Amérique",IF(OR(ISNUMBER(SEARCH("chinois",B710)),ISNUMBER(SEARCH("japonais",B710)),ISNUMBER(SEARCH("coréen",B710)),ISNUMBER(SEARCH("indien",B710)),ISNUMBER(SEARCH("persan",B710)),ISNUMBER(SEARCH("iranien",B710))),"Asie","(non classée)"))))</f>
        <v/>
      </c>
    </row>
    <row r="711">
      <c r="A711" s="2" t="inlineStr">
        <is>
          <t>VECCHIETTA (LORENZO DI PIETRO)</t>
        </is>
      </c>
      <c r="B711" s="2" t="inlineStr">
        <is>
          <t>italienne</t>
        </is>
      </c>
      <c r="C711" s="2" t="inlineStr">
        <is>
          <t>peinture, sculpture</t>
        </is>
      </c>
      <c r="D711" s="2" t="inlineStr">
        <is>
          <t>15e</t>
        </is>
      </c>
      <c r="U711">
        <f>IF(ISNUMBER(SEARCH("fran",B711)),"France",IF(OR(ISNUMBER(SEARCH("italien",B711)),ISNUMBER(SEARCH("espagn",B711)),ISNUMBER(SEARCH("catalan",B711)),ISNUMBER(SEARCH("flamand",B711)),ISNUMBER(SEARCH("belge",B711)),ISNUMBER(SEARCH("hollandais",B711)),ISNUMBER(SEARCH("néerlandais",B711)),ISNUMBER(SEARCH("allemand",B711)),ISNUMBER(SEARCH("autrichien",B711)),ISNUMBER(SEARCH("suisse",B711)),ISNUMBER(SEARCH("anglais",B711)),ISNUMBER(SEARCH("britannique",B711)),ISNUMBER(SEARCH("écossais",B711)),ISNUMBER(SEARCH("irlandais",B711)),ISNUMBER(SEARCH("russe",B711)),ISNUMBER(SEARCH("portugais",B711)),ISNUMBER(SEARCH("danois",B711)),ISNUMBER(SEARCH("norvégien",B711)),ISNUMBER(SEARCH("suédois",B711)),ISNUMBER(SEARCH("finlandais",B711)),ISNUMBER(SEARCH("polonais",B711)),ISNUMBER(SEARCH("tchèque",B711)),ISNUMBER(SEARCH("hongrois",B711)),ISNUMBER(SEARCH("grec",B711)),ISNUMBER(SEARCH("byzantin",B711)),ISNUMBER(SEARCH("croate",B711)),ISNUMBER(SEARCH("ukrainien",B711)),ISNUMBER(SEARCH("bulgare",B711)),ISNUMBER(SEARCH("biélorusse",B711)),ISNUMBER(SEARCH("maltais",B711))),"Autres pays d'Europe",IF(OR(ISNUMBER(SEARCH("américain",B711)),ISNUMBER(SEARCH("mexicain",B711)),ISNUMBER(SEARCH("canadien",B711)),ISNUMBER(SEARCH("brésilien",B711)),ISNUMBER(SEARCH("argentin",B711))),"Amérique",IF(OR(ISNUMBER(SEARCH("chinois",B711)),ISNUMBER(SEARCH("japonais",B711)),ISNUMBER(SEARCH("coréen",B711)),ISNUMBER(SEARCH("indien",B711)),ISNUMBER(SEARCH("persan",B711)),ISNUMBER(SEARCH("iranien",B711))),"Asie","(non classée)"))))</f>
        <v/>
      </c>
    </row>
    <row r="712">
      <c r="A712" s="2" t="inlineStr">
        <is>
          <t>VALENTIN DE BOULOGNE</t>
        </is>
      </c>
      <c r="B712" s="2" t="inlineStr">
        <is>
          <t>française</t>
        </is>
      </c>
      <c r="C712" s="2" t="inlineStr">
        <is>
          <t>peinture</t>
        </is>
      </c>
      <c r="D712" s="2" t="inlineStr">
        <is>
          <t>17e</t>
        </is>
      </c>
      <c r="U712">
        <f>IF(ISNUMBER(SEARCH("fran",B712)),"France",IF(OR(ISNUMBER(SEARCH("italien",B712)),ISNUMBER(SEARCH("espagn",B712)),ISNUMBER(SEARCH("catalan",B712)),ISNUMBER(SEARCH("flamand",B712)),ISNUMBER(SEARCH("belge",B712)),ISNUMBER(SEARCH("hollandais",B712)),ISNUMBER(SEARCH("néerlandais",B712)),ISNUMBER(SEARCH("allemand",B712)),ISNUMBER(SEARCH("autrichien",B712)),ISNUMBER(SEARCH("suisse",B712)),ISNUMBER(SEARCH("anglais",B712)),ISNUMBER(SEARCH("britannique",B712)),ISNUMBER(SEARCH("écossais",B712)),ISNUMBER(SEARCH("irlandais",B712)),ISNUMBER(SEARCH("russe",B712)),ISNUMBER(SEARCH("portugais",B712)),ISNUMBER(SEARCH("danois",B712)),ISNUMBER(SEARCH("norvégien",B712)),ISNUMBER(SEARCH("suédois",B712)),ISNUMBER(SEARCH("finlandais",B712)),ISNUMBER(SEARCH("polonais",B712)),ISNUMBER(SEARCH("tchèque",B712)),ISNUMBER(SEARCH("hongrois",B712)),ISNUMBER(SEARCH("grec",B712)),ISNUMBER(SEARCH("byzantin",B712)),ISNUMBER(SEARCH("croate",B712)),ISNUMBER(SEARCH("ukrainien",B712)),ISNUMBER(SEARCH("bulgare",B712)),ISNUMBER(SEARCH("biélorusse",B712)),ISNUMBER(SEARCH("maltais",B712))),"Autres pays d'Europe",IF(OR(ISNUMBER(SEARCH("américain",B712)),ISNUMBER(SEARCH("mexicain",B712)),ISNUMBER(SEARCH("canadien",B712)),ISNUMBER(SEARCH("brésilien",B712)),ISNUMBER(SEARCH("argentin",B712))),"Amérique",IF(OR(ISNUMBER(SEARCH("chinois",B712)),ISNUMBER(SEARCH("japonais",B712)),ISNUMBER(SEARCH("coréen",B712)),ISNUMBER(SEARCH("indien",B712)),ISNUMBER(SEARCH("persan",B712)),ISNUMBER(SEARCH("iranien",B712))),"Asie","(non classée)"))))</f>
        <v/>
      </c>
    </row>
    <row r="713">
      <c r="A713" s="2" t="inlineStr">
        <is>
          <t>VEIT STOSS</t>
        </is>
      </c>
      <c r="B713" s="2" t="inlineStr">
        <is>
          <t>allemande</t>
        </is>
      </c>
      <c r="C713" s="2" t="inlineStr">
        <is>
          <t>sculpture</t>
        </is>
      </c>
      <c r="D713" s="2" t="inlineStr">
        <is>
          <t>15e</t>
        </is>
      </c>
      <c r="U713">
        <f>IF(ISNUMBER(SEARCH("fran",B713)),"France",IF(OR(ISNUMBER(SEARCH("italien",B713)),ISNUMBER(SEARCH("espagn",B713)),ISNUMBER(SEARCH("catalan",B713)),ISNUMBER(SEARCH("flamand",B713)),ISNUMBER(SEARCH("belge",B713)),ISNUMBER(SEARCH("hollandais",B713)),ISNUMBER(SEARCH("néerlandais",B713)),ISNUMBER(SEARCH("allemand",B713)),ISNUMBER(SEARCH("autrichien",B713)),ISNUMBER(SEARCH("suisse",B713)),ISNUMBER(SEARCH("anglais",B713)),ISNUMBER(SEARCH("britannique",B713)),ISNUMBER(SEARCH("écossais",B713)),ISNUMBER(SEARCH("irlandais",B713)),ISNUMBER(SEARCH("russe",B713)),ISNUMBER(SEARCH("portugais",B713)),ISNUMBER(SEARCH("danois",B713)),ISNUMBER(SEARCH("norvégien",B713)),ISNUMBER(SEARCH("suédois",B713)),ISNUMBER(SEARCH("finlandais",B713)),ISNUMBER(SEARCH("polonais",B713)),ISNUMBER(SEARCH("tchèque",B713)),ISNUMBER(SEARCH("hongrois",B713)),ISNUMBER(SEARCH("grec",B713)),ISNUMBER(SEARCH("byzantin",B713)),ISNUMBER(SEARCH("croate",B713)),ISNUMBER(SEARCH("ukrainien",B713)),ISNUMBER(SEARCH("bulgare",B713)),ISNUMBER(SEARCH("biélorusse",B713)),ISNUMBER(SEARCH("maltais",B713))),"Autres pays d'Europe",IF(OR(ISNUMBER(SEARCH("américain",B713)),ISNUMBER(SEARCH("mexicain",B713)),ISNUMBER(SEARCH("canadien",B713)),ISNUMBER(SEARCH("brésilien",B713)),ISNUMBER(SEARCH("argentin",B713))),"Amérique",IF(OR(ISNUMBER(SEARCH("chinois",B713)),ISNUMBER(SEARCH("japonais",B713)),ISNUMBER(SEARCH("coréen",B713)),ISNUMBER(SEARCH("indien",B713)),ISNUMBER(SEARCH("persan",B713)),ISNUMBER(SEARCH("iranien",B713))),"Asie","(non classée)"))))</f>
        <v/>
      </c>
    </row>
    <row r="714">
      <c r="A714" s="2" t="inlineStr">
        <is>
          <t>VERA MUKHINA</t>
        </is>
      </c>
      <c r="B714" s="2" t="inlineStr">
        <is>
          <t>russe</t>
        </is>
      </c>
      <c r="C714" s="2" t="inlineStr">
        <is>
          <t>sculpture</t>
        </is>
      </c>
      <c r="D714" s="2" t="inlineStr">
        <is>
          <t>20e</t>
        </is>
      </c>
      <c r="U714">
        <f>IF(ISNUMBER(SEARCH("fran",B714)),"France",IF(OR(ISNUMBER(SEARCH("italien",B714)),ISNUMBER(SEARCH("espagn",B714)),ISNUMBER(SEARCH("catalan",B714)),ISNUMBER(SEARCH("flamand",B714)),ISNUMBER(SEARCH("belge",B714)),ISNUMBER(SEARCH("hollandais",B714)),ISNUMBER(SEARCH("néerlandais",B714)),ISNUMBER(SEARCH("allemand",B714)),ISNUMBER(SEARCH("autrichien",B714)),ISNUMBER(SEARCH("suisse",B714)),ISNUMBER(SEARCH("anglais",B714)),ISNUMBER(SEARCH("britannique",B714)),ISNUMBER(SEARCH("écossais",B714)),ISNUMBER(SEARCH("irlandais",B714)),ISNUMBER(SEARCH("russe",B714)),ISNUMBER(SEARCH("portugais",B714)),ISNUMBER(SEARCH("danois",B714)),ISNUMBER(SEARCH("norvégien",B714)),ISNUMBER(SEARCH("suédois",B714)),ISNUMBER(SEARCH("finlandais",B714)),ISNUMBER(SEARCH("polonais",B714)),ISNUMBER(SEARCH("tchèque",B714)),ISNUMBER(SEARCH("hongrois",B714)),ISNUMBER(SEARCH("grec",B714)),ISNUMBER(SEARCH("byzantin",B714)),ISNUMBER(SEARCH("croate",B714)),ISNUMBER(SEARCH("ukrainien",B714)),ISNUMBER(SEARCH("bulgare",B714)),ISNUMBER(SEARCH("biélorusse",B714)),ISNUMBER(SEARCH("maltais",B714))),"Autres pays d'Europe",IF(OR(ISNUMBER(SEARCH("américain",B714)),ISNUMBER(SEARCH("mexicain",B714)),ISNUMBER(SEARCH("canadien",B714)),ISNUMBER(SEARCH("brésilien",B714)),ISNUMBER(SEARCH("argentin",B714))),"Amérique",IF(OR(ISNUMBER(SEARCH("chinois",B714)),ISNUMBER(SEARCH("japonais",B714)),ISNUMBER(SEARCH("coréen",B714)),ISNUMBER(SEARCH("indien",B714)),ISNUMBER(SEARCH("persan",B714)),ISNUMBER(SEARCH("iranien",B714))),"Asie","(non classée)"))))</f>
        <v/>
      </c>
    </row>
    <row r="715">
      <c r="A715" s="2" t="inlineStr">
        <is>
          <t>VINCENT VAN GOGH</t>
        </is>
      </c>
      <c r="B715" s="2" t="inlineStr">
        <is>
          <t>hollandaise (Pays-Bas)</t>
        </is>
      </c>
      <c r="C715" s="2" t="inlineStr">
        <is>
          <t>peinture</t>
        </is>
      </c>
      <c r="D715" s="2" t="inlineStr">
        <is>
          <t>19e</t>
        </is>
      </c>
      <c r="U715">
        <f>IF(ISNUMBER(SEARCH("fran",B715)),"France",IF(OR(ISNUMBER(SEARCH("italien",B715)),ISNUMBER(SEARCH("espagn",B715)),ISNUMBER(SEARCH("catalan",B715)),ISNUMBER(SEARCH("flamand",B715)),ISNUMBER(SEARCH("belge",B715)),ISNUMBER(SEARCH("hollandais",B715)),ISNUMBER(SEARCH("néerlandais",B715)),ISNUMBER(SEARCH("allemand",B715)),ISNUMBER(SEARCH("autrichien",B715)),ISNUMBER(SEARCH("suisse",B715)),ISNUMBER(SEARCH("anglais",B715)),ISNUMBER(SEARCH("britannique",B715)),ISNUMBER(SEARCH("écossais",B715)),ISNUMBER(SEARCH("irlandais",B715)),ISNUMBER(SEARCH("russe",B715)),ISNUMBER(SEARCH("portugais",B715)),ISNUMBER(SEARCH("danois",B715)),ISNUMBER(SEARCH("norvégien",B715)),ISNUMBER(SEARCH("suédois",B715)),ISNUMBER(SEARCH("finlandais",B715)),ISNUMBER(SEARCH("polonais",B715)),ISNUMBER(SEARCH("tchèque",B715)),ISNUMBER(SEARCH("hongrois",B715)),ISNUMBER(SEARCH("grec",B715)),ISNUMBER(SEARCH("byzantin",B715)),ISNUMBER(SEARCH("croate",B715)),ISNUMBER(SEARCH("ukrainien",B715)),ISNUMBER(SEARCH("bulgare",B715)),ISNUMBER(SEARCH("biélorusse",B715)),ISNUMBER(SEARCH("maltais",B715))),"Autres pays d'Europe",IF(OR(ISNUMBER(SEARCH("américain",B715)),ISNUMBER(SEARCH("mexicain",B715)),ISNUMBER(SEARCH("canadien",B715)),ISNUMBER(SEARCH("brésilien",B715)),ISNUMBER(SEARCH("argentin",B715))),"Amérique",IF(OR(ISNUMBER(SEARCH("chinois",B715)),ISNUMBER(SEARCH("japonais",B715)),ISNUMBER(SEARCH("coréen",B715)),ISNUMBER(SEARCH("indien",B715)),ISNUMBER(SEARCH("persan",B715)),ISNUMBER(SEARCH("iranien",B715))),"Asie","(non classée)"))))</f>
        <v/>
      </c>
    </row>
    <row r="716">
      <c r="A716" s="2" t="inlineStr">
        <is>
          <t>VINCENZO DANTI</t>
        </is>
      </c>
      <c r="B716" s="2" t="inlineStr">
        <is>
          <t>italienne</t>
        </is>
      </c>
      <c r="C716" s="2" t="inlineStr">
        <is>
          <t>sculpture</t>
        </is>
      </c>
      <c r="D716" s="2" t="inlineStr">
        <is>
          <t>16e</t>
        </is>
      </c>
      <c r="U716">
        <f>IF(ISNUMBER(SEARCH("fran",B716)),"France",IF(OR(ISNUMBER(SEARCH("italien",B716)),ISNUMBER(SEARCH("espagn",B716)),ISNUMBER(SEARCH("catalan",B716)),ISNUMBER(SEARCH("flamand",B716)),ISNUMBER(SEARCH("belge",B716)),ISNUMBER(SEARCH("hollandais",B716)),ISNUMBER(SEARCH("néerlandais",B716)),ISNUMBER(SEARCH("allemand",B716)),ISNUMBER(SEARCH("autrichien",B716)),ISNUMBER(SEARCH("suisse",B716)),ISNUMBER(SEARCH("anglais",B716)),ISNUMBER(SEARCH("britannique",B716)),ISNUMBER(SEARCH("écossais",B716)),ISNUMBER(SEARCH("irlandais",B716)),ISNUMBER(SEARCH("russe",B716)),ISNUMBER(SEARCH("portugais",B716)),ISNUMBER(SEARCH("danois",B716)),ISNUMBER(SEARCH("norvégien",B716)),ISNUMBER(SEARCH("suédois",B716)),ISNUMBER(SEARCH("finlandais",B716)),ISNUMBER(SEARCH("polonais",B716)),ISNUMBER(SEARCH("tchèque",B716)),ISNUMBER(SEARCH("hongrois",B716)),ISNUMBER(SEARCH("grec",B716)),ISNUMBER(SEARCH("byzantin",B716)),ISNUMBER(SEARCH("croate",B716)),ISNUMBER(SEARCH("ukrainien",B716)),ISNUMBER(SEARCH("bulgare",B716)),ISNUMBER(SEARCH("biélorusse",B716)),ISNUMBER(SEARCH("maltais",B716))),"Autres pays d'Europe",IF(OR(ISNUMBER(SEARCH("américain",B716)),ISNUMBER(SEARCH("mexicain",B716)),ISNUMBER(SEARCH("canadien",B716)),ISNUMBER(SEARCH("brésilien",B716)),ISNUMBER(SEARCH("argentin",B716))),"Amérique",IF(OR(ISNUMBER(SEARCH("chinois",B716)),ISNUMBER(SEARCH("japonais",B716)),ISNUMBER(SEARCH("coréen",B716)),ISNUMBER(SEARCH("indien",B716)),ISNUMBER(SEARCH("persan",B716)),ISNUMBER(SEARCH("iranien",B716))),"Asie","(non classée)"))))</f>
        <v/>
      </c>
    </row>
    <row r="717">
      <c r="A717" s="2" t="inlineStr">
        <is>
          <t>VINCENZO FOPPA</t>
        </is>
      </c>
      <c r="B717" s="2" t="inlineStr">
        <is>
          <t>italienne</t>
        </is>
      </c>
      <c r="C717" s="2" t="inlineStr">
        <is>
          <t>peinture</t>
        </is>
      </c>
      <c r="D717" s="2" t="inlineStr">
        <is>
          <t>15e</t>
        </is>
      </c>
      <c r="U717">
        <f>IF(ISNUMBER(SEARCH("fran",B717)),"France",IF(OR(ISNUMBER(SEARCH("italien",B717)),ISNUMBER(SEARCH("espagn",B717)),ISNUMBER(SEARCH("catalan",B717)),ISNUMBER(SEARCH("flamand",B717)),ISNUMBER(SEARCH("belge",B717)),ISNUMBER(SEARCH("hollandais",B717)),ISNUMBER(SEARCH("néerlandais",B717)),ISNUMBER(SEARCH("allemand",B717)),ISNUMBER(SEARCH("autrichien",B717)),ISNUMBER(SEARCH("suisse",B717)),ISNUMBER(SEARCH("anglais",B717)),ISNUMBER(SEARCH("britannique",B717)),ISNUMBER(SEARCH("écossais",B717)),ISNUMBER(SEARCH("irlandais",B717)),ISNUMBER(SEARCH("russe",B717)),ISNUMBER(SEARCH("portugais",B717)),ISNUMBER(SEARCH("danois",B717)),ISNUMBER(SEARCH("norvégien",B717)),ISNUMBER(SEARCH("suédois",B717)),ISNUMBER(SEARCH("finlandais",B717)),ISNUMBER(SEARCH("polonais",B717)),ISNUMBER(SEARCH("tchèque",B717)),ISNUMBER(SEARCH("hongrois",B717)),ISNUMBER(SEARCH("grec",B717)),ISNUMBER(SEARCH("byzantin",B717)),ISNUMBER(SEARCH("croate",B717)),ISNUMBER(SEARCH("ukrainien",B717)),ISNUMBER(SEARCH("bulgare",B717)),ISNUMBER(SEARCH("biélorusse",B717)),ISNUMBER(SEARCH("maltais",B717))),"Autres pays d'Europe",IF(OR(ISNUMBER(SEARCH("américain",B717)),ISNUMBER(SEARCH("mexicain",B717)),ISNUMBER(SEARCH("canadien",B717)),ISNUMBER(SEARCH("brésilien",B717)),ISNUMBER(SEARCH("argentin",B717))),"Amérique",IF(OR(ISNUMBER(SEARCH("chinois",B717)),ISNUMBER(SEARCH("japonais",B717)),ISNUMBER(SEARCH("coréen",B717)),ISNUMBER(SEARCH("indien",B717)),ISNUMBER(SEARCH("persan",B717)),ISNUMBER(SEARCH("iranien",B717))),"Asie","(non classée)"))))</f>
        <v/>
      </c>
    </row>
    <row r="718">
      <c r="A718" s="2" t="inlineStr">
        <is>
          <t>VINCENZO GEMITO</t>
        </is>
      </c>
      <c r="B718" s="2" t="inlineStr">
        <is>
          <t>italienne</t>
        </is>
      </c>
      <c r="C718" s="2" t="inlineStr">
        <is>
          <t>sculpture</t>
        </is>
      </c>
      <c r="D718" s="2" t="inlineStr">
        <is>
          <t>19e</t>
        </is>
      </c>
      <c r="U718">
        <f>IF(ISNUMBER(SEARCH("fran",B718)),"France",IF(OR(ISNUMBER(SEARCH("italien",B718)),ISNUMBER(SEARCH("espagn",B718)),ISNUMBER(SEARCH("catalan",B718)),ISNUMBER(SEARCH("flamand",B718)),ISNUMBER(SEARCH("belge",B718)),ISNUMBER(SEARCH("hollandais",B718)),ISNUMBER(SEARCH("néerlandais",B718)),ISNUMBER(SEARCH("allemand",B718)),ISNUMBER(SEARCH("autrichien",B718)),ISNUMBER(SEARCH("suisse",B718)),ISNUMBER(SEARCH("anglais",B718)),ISNUMBER(SEARCH("britannique",B718)),ISNUMBER(SEARCH("écossais",B718)),ISNUMBER(SEARCH("irlandais",B718)),ISNUMBER(SEARCH("russe",B718)),ISNUMBER(SEARCH("portugais",B718)),ISNUMBER(SEARCH("danois",B718)),ISNUMBER(SEARCH("norvégien",B718)),ISNUMBER(SEARCH("suédois",B718)),ISNUMBER(SEARCH("finlandais",B718)),ISNUMBER(SEARCH("polonais",B718)),ISNUMBER(SEARCH("tchèque",B718)),ISNUMBER(SEARCH("hongrois",B718)),ISNUMBER(SEARCH("grec",B718)),ISNUMBER(SEARCH("byzantin",B718)),ISNUMBER(SEARCH("croate",B718)),ISNUMBER(SEARCH("ukrainien",B718)),ISNUMBER(SEARCH("bulgare",B718)),ISNUMBER(SEARCH("biélorusse",B718)),ISNUMBER(SEARCH("maltais",B718))),"Autres pays d'Europe",IF(OR(ISNUMBER(SEARCH("américain",B718)),ISNUMBER(SEARCH("mexicain",B718)),ISNUMBER(SEARCH("canadien",B718)),ISNUMBER(SEARCH("brésilien",B718)),ISNUMBER(SEARCH("argentin",B718))),"Amérique",IF(OR(ISNUMBER(SEARCH("chinois",B718)),ISNUMBER(SEARCH("japonais",B718)),ISNUMBER(SEARCH("coréen",B718)),ISNUMBER(SEARCH("indien",B718)),ISNUMBER(SEARCH("persan",B718)),ISNUMBER(SEARCH("iranien",B718))),"Asie","(non classée)"))))</f>
        <v/>
      </c>
    </row>
    <row r="719">
      <c r="A719" s="2" t="inlineStr">
        <is>
          <t>VINCENZO VELA</t>
        </is>
      </c>
      <c r="B719" s="2" t="inlineStr">
        <is>
          <t>suisse</t>
        </is>
      </c>
      <c r="C719" s="2" t="inlineStr">
        <is>
          <t>sculpture</t>
        </is>
      </c>
      <c r="D719" s="2" t="inlineStr">
        <is>
          <t>19e</t>
        </is>
      </c>
      <c r="U719">
        <f>IF(ISNUMBER(SEARCH("fran",B719)),"France",IF(OR(ISNUMBER(SEARCH("italien",B719)),ISNUMBER(SEARCH("espagn",B719)),ISNUMBER(SEARCH("catalan",B719)),ISNUMBER(SEARCH("flamand",B719)),ISNUMBER(SEARCH("belge",B719)),ISNUMBER(SEARCH("hollandais",B719)),ISNUMBER(SEARCH("néerlandais",B719)),ISNUMBER(SEARCH("allemand",B719)),ISNUMBER(SEARCH("autrichien",B719)),ISNUMBER(SEARCH("suisse",B719)),ISNUMBER(SEARCH("anglais",B719)),ISNUMBER(SEARCH("britannique",B719)),ISNUMBER(SEARCH("écossais",B719)),ISNUMBER(SEARCH("irlandais",B719)),ISNUMBER(SEARCH("russe",B719)),ISNUMBER(SEARCH("portugais",B719)),ISNUMBER(SEARCH("danois",B719)),ISNUMBER(SEARCH("norvégien",B719)),ISNUMBER(SEARCH("suédois",B719)),ISNUMBER(SEARCH("finlandais",B719)),ISNUMBER(SEARCH("polonais",B719)),ISNUMBER(SEARCH("tchèque",B719)),ISNUMBER(SEARCH("hongrois",B719)),ISNUMBER(SEARCH("grec",B719)),ISNUMBER(SEARCH("byzantin",B719)),ISNUMBER(SEARCH("croate",B719)),ISNUMBER(SEARCH("ukrainien",B719)),ISNUMBER(SEARCH("bulgare",B719)),ISNUMBER(SEARCH("biélorusse",B719)),ISNUMBER(SEARCH("maltais",B719))),"Autres pays d'Europe",IF(OR(ISNUMBER(SEARCH("américain",B719)),ISNUMBER(SEARCH("mexicain",B719)),ISNUMBER(SEARCH("canadien",B719)),ISNUMBER(SEARCH("brésilien",B719)),ISNUMBER(SEARCH("argentin",B719))),"Amérique",IF(OR(ISNUMBER(SEARCH("chinois",B719)),ISNUMBER(SEARCH("japonais",B719)),ISNUMBER(SEARCH("coréen",B719)),ISNUMBER(SEARCH("indien",B719)),ISNUMBER(SEARCH("persan",B719)),ISNUMBER(SEARCH("iranien",B719))),"Asie","(non classée)"))))</f>
        <v/>
      </c>
    </row>
    <row r="720">
      <c r="A720" s="2" t="inlineStr">
        <is>
          <t>VINCENZO DE' ROSSI</t>
        </is>
      </c>
      <c r="B720" s="2" t="inlineStr">
        <is>
          <t>italienne</t>
        </is>
      </c>
      <c r="C720" s="2" t="inlineStr">
        <is>
          <t>sculpture</t>
        </is>
      </c>
      <c r="D720" s="2" t="inlineStr">
        <is>
          <t>16e</t>
        </is>
      </c>
      <c r="U720">
        <f>IF(ISNUMBER(SEARCH("fran",B720)),"France",IF(OR(ISNUMBER(SEARCH("italien",B720)),ISNUMBER(SEARCH("espagn",B720)),ISNUMBER(SEARCH("catalan",B720)),ISNUMBER(SEARCH("flamand",B720)),ISNUMBER(SEARCH("belge",B720)),ISNUMBER(SEARCH("hollandais",B720)),ISNUMBER(SEARCH("néerlandais",B720)),ISNUMBER(SEARCH("allemand",B720)),ISNUMBER(SEARCH("autrichien",B720)),ISNUMBER(SEARCH("suisse",B720)),ISNUMBER(SEARCH("anglais",B720)),ISNUMBER(SEARCH("britannique",B720)),ISNUMBER(SEARCH("écossais",B720)),ISNUMBER(SEARCH("irlandais",B720)),ISNUMBER(SEARCH("russe",B720)),ISNUMBER(SEARCH("portugais",B720)),ISNUMBER(SEARCH("danois",B720)),ISNUMBER(SEARCH("norvégien",B720)),ISNUMBER(SEARCH("suédois",B720)),ISNUMBER(SEARCH("finlandais",B720)),ISNUMBER(SEARCH("polonais",B720)),ISNUMBER(SEARCH("tchèque",B720)),ISNUMBER(SEARCH("hongrois",B720)),ISNUMBER(SEARCH("grec",B720)),ISNUMBER(SEARCH("byzantin",B720)),ISNUMBER(SEARCH("croate",B720)),ISNUMBER(SEARCH("ukrainien",B720)),ISNUMBER(SEARCH("bulgare",B720)),ISNUMBER(SEARCH("biélorusse",B720)),ISNUMBER(SEARCH("maltais",B720))),"Autres pays d'Europe",IF(OR(ISNUMBER(SEARCH("américain",B720)),ISNUMBER(SEARCH("mexicain",B720)),ISNUMBER(SEARCH("canadien",B720)),ISNUMBER(SEARCH("brésilien",B720)),ISNUMBER(SEARCH("argentin",B720))),"Amérique",IF(OR(ISNUMBER(SEARCH("chinois",B720)),ISNUMBER(SEARCH("japonais",B720)),ISNUMBER(SEARCH("coréen",B720)),ISNUMBER(SEARCH("indien",B720)),ISNUMBER(SEARCH("persan",B720)),ISNUMBER(SEARCH("iranien",B720))),"Asie","(non classée)"))))</f>
        <v/>
      </c>
    </row>
    <row r="721">
      <c r="A721" s="2" t="inlineStr">
        <is>
          <t>VITALE DA BOLOGNA</t>
        </is>
      </c>
      <c r="B721" s="2" t="inlineStr">
        <is>
          <t>italienne</t>
        </is>
      </c>
      <c r="C721" s="2" t="inlineStr">
        <is>
          <t>peinture</t>
        </is>
      </c>
      <c r="D721" s="2" t="inlineStr">
        <is>
          <t>14e</t>
        </is>
      </c>
      <c r="U721">
        <f>IF(ISNUMBER(SEARCH("fran",B721)),"France",IF(OR(ISNUMBER(SEARCH("italien",B721)),ISNUMBER(SEARCH("espagn",B721)),ISNUMBER(SEARCH("catalan",B721)),ISNUMBER(SEARCH("flamand",B721)),ISNUMBER(SEARCH("belge",B721)),ISNUMBER(SEARCH("hollandais",B721)),ISNUMBER(SEARCH("néerlandais",B721)),ISNUMBER(SEARCH("allemand",B721)),ISNUMBER(SEARCH("autrichien",B721)),ISNUMBER(SEARCH("suisse",B721)),ISNUMBER(SEARCH("anglais",B721)),ISNUMBER(SEARCH("britannique",B721)),ISNUMBER(SEARCH("écossais",B721)),ISNUMBER(SEARCH("irlandais",B721)),ISNUMBER(SEARCH("russe",B721)),ISNUMBER(SEARCH("portugais",B721)),ISNUMBER(SEARCH("danois",B721)),ISNUMBER(SEARCH("norvégien",B721)),ISNUMBER(SEARCH("suédois",B721)),ISNUMBER(SEARCH("finlandais",B721)),ISNUMBER(SEARCH("polonais",B721)),ISNUMBER(SEARCH("tchèque",B721)),ISNUMBER(SEARCH("hongrois",B721)),ISNUMBER(SEARCH("grec",B721)),ISNUMBER(SEARCH("byzantin",B721)),ISNUMBER(SEARCH("croate",B721)),ISNUMBER(SEARCH("ukrainien",B721)),ISNUMBER(SEARCH("bulgare",B721)),ISNUMBER(SEARCH("biélorusse",B721)),ISNUMBER(SEARCH("maltais",B721))),"Autres pays d'Europe",IF(OR(ISNUMBER(SEARCH("américain",B721)),ISNUMBER(SEARCH("mexicain",B721)),ISNUMBER(SEARCH("canadien",B721)),ISNUMBER(SEARCH("brésilien",B721)),ISNUMBER(SEARCH("argentin",B721))),"Amérique",IF(OR(ISNUMBER(SEARCH("chinois",B721)),ISNUMBER(SEARCH("japonais",B721)),ISNUMBER(SEARCH("coréen",B721)),ISNUMBER(SEARCH("indien",B721)),ISNUMBER(SEARCH("persan",B721)),ISNUMBER(SEARCH("iranien",B721))),"Asie","(non classée)"))))</f>
        <v/>
      </c>
    </row>
    <row r="722">
      <c r="A722" s="2" t="inlineStr">
        <is>
          <t>VITTORE CARPACCIO</t>
        </is>
      </c>
      <c r="B722" s="2" t="inlineStr">
        <is>
          <t>italienne</t>
        </is>
      </c>
      <c r="C722" s="2" t="inlineStr">
        <is>
          <t>peinture</t>
        </is>
      </c>
      <c r="D722" s="2" t="inlineStr">
        <is>
          <t>15e</t>
        </is>
      </c>
      <c r="U722">
        <f>IF(ISNUMBER(SEARCH("fran",B722)),"France",IF(OR(ISNUMBER(SEARCH("italien",B722)),ISNUMBER(SEARCH("espagn",B722)),ISNUMBER(SEARCH("catalan",B722)),ISNUMBER(SEARCH("flamand",B722)),ISNUMBER(SEARCH("belge",B722)),ISNUMBER(SEARCH("hollandais",B722)),ISNUMBER(SEARCH("néerlandais",B722)),ISNUMBER(SEARCH("allemand",B722)),ISNUMBER(SEARCH("autrichien",B722)),ISNUMBER(SEARCH("suisse",B722)),ISNUMBER(SEARCH("anglais",B722)),ISNUMBER(SEARCH("britannique",B722)),ISNUMBER(SEARCH("écossais",B722)),ISNUMBER(SEARCH("irlandais",B722)),ISNUMBER(SEARCH("russe",B722)),ISNUMBER(SEARCH("portugais",B722)),ISNUMBER(SEARCH("danois",B722)),ISNUMBER(SEARCH("norvégien",B722)),ISNUMBER(SEARCH("suédois",B722)),ISNUMBER(SEARCH("finlandais",B722)),ISNUMBER(SEARCH("polonais",B722)),ISNUMBER(SEARCH("tchèque",B722)),ISNUMBER(SEARCH("hongrois",B722)),ISNUMBER(SEARCH("grec",B722)),ISNUMBER(SEARCH("byzantin",B722)),ISNUMBER(SEARCH("croate",B722)),ISNUMBER(SEARCH("ukrainien",B722)),ISNUMBER(SEARCH("bulgare",B722)),ISNUMBER(SEARCH("biélorusse",B722)),ISNUMBER(SEARCH("maltais",B722))),"Autres pays d'Europe",IF(OR(ISNUMBER(SEARCH("américain",B722)),ISNUMBER(SEARCH("mexicain",B722)),ISNUMBER(SEARCH("canadien",B722)),ISNUMBER(SEARCH("brésilien",B722)),ISNUMBER(SEARCH("argentin",B722))),"Amérique",IF(OR(ISNUMBER(SEARCH("chinois",B722)),ISNUMBER(SEARCH("japonais",B722)),ISNUMBER(SEARCH("coréen",B722)),ISNUMBER(SEARCH("indien",B722)),ISNUMBER(SEARCH("persan",B722)),ISNUMBER(SEARCH("iranien",B722))),"Asie","(non classée)"))))</f>
        <v/>
      </c>
    </row>
    <row r="723">
      <c r="A723" s="2" t="inlineStr">
        <is>
          <t>VLADIMIR BOROVIKOVSKY</t>
        </is>
      </c>
      <c r="B723" s="2" t="inlineStr">
        <is>
          <t>russe</t>
        </is>
      </c>
      <c r="C723" s="2" t="inlineStr">
        <is>
          <t>peinture</t>
        </is>
      </c>
      <c r="D723" s="2" t="inlineStr">
        <is>
          <t>18e</t>
        </is>
      </c>
      <c r="U723">
        <f>IF(ISNUMBER(SEARCH("fran",B723)),"France",IF(OR(ISNUMBER(SEARCH("italien",B723)),ISNUMBER(SEARCH("espagn",B723)),ISNUMBER(SEARCH("catalan",B723)),ISNUMBER(SEARCH("flamand",B723)),ISNUMBER(SEARCH("belge",B723)),ISNUMBER(SEARCH("hollandais",B723)),ISNUMBER(SEARCH("néerlandais",B723)),ISNUMBER(SEARCH("allemand",B723)),ISNUMBER(SEARCH("autrichien",B723)),ISNUMBER(SEARCH("suisse",B723)),ISNUMBER(SEARCH("anglais",B723)),ISNUMBER(SEARCH("britannique",B723)),ISNUMBER(SEARCH("écossais",B723)),ISNUMBER(SEARCH("irlandais",B723)),ISNUMBER(SEARCH("russe",B723)),ISNUMBER(SEARCH("portugais",B723)),ISNUMBER(SEARCH("danois",B723)),ISNUMBER(SEARCH("norvégien",B723)),ISNUMBER(SEARCH("suédois",B723)),ISNUMBER(SEARCH("finlandais",B723)),ISNUMBER(SEARCH("polonais",B723)),ISNUMBER(SEARCH("tchèque",B723)),ISNUMBER(SEARCH("hongrois",B723)),ISNUMBER(SEARCH("grec",B723)),ISNUMBER(SEARCH("byzantin",B723)),ISNUMBER(SEARCH("croate",B723)),ISNUMBER(SEARCH("ukrainien",B723)),ISNUMBER(SEARCH("bulgare",B723)),ISNUMBER(SEARCH("biélorusse",B723)),ISNUMBER(SEARCH("maltais",B723))),"Autres pays d'Europe",IF(OR(ISNUMBER(SEARCH("américain",B723)),ISNUMBER(SEARCH("mexicain",B723)),ISNUMBER(SEARCH("canadien",B723)),ISNUMBER(SEARCH("brésilien",B723)),ISNUMBER(SEARCH("argentin",B723))),"Amérique",IF(OR(ISNUMBER(SEARCH("chinois",B723)),ISNUMBER(SEARCH("japonais",B723)),ISNUMBER(SEARCH("coréen",B723)),ISNUMBER(SEARCH("indien",B723)),ISNUMBER(SEARCH("persan",B723)),ISNUMBER(SEARCH("iranien",B723))),"Asie","(non classée)"))))</f>
        <v/>
      </c>
    </row>
    <row r="724">
      <c r="A724" s="2" t="inlineStr">
        <is>
          <t>WALTER SICKERT</t>
        </is>
      </c>
      <c r="B724" s="2" t="inlineStr">
        <is>
          <t>anglaise (Royaume-Uni)</t>
        </is>
      </c>
      <c r="C724" s="2" t="inlineStr">
        <is>
          <t>peinture</t>
        </is>
      </c>
      <c r="D724" s="2" t="inlineStr">
        <is>
          <t>20e</t>
        </is>
      </c>
      <c r="U724">
        <f>IF(ISNUMBER(SEARCH("fran",B724)),"France",IF(OR(ISNUMBER(SEARCH("italien",B724)),ISNUMBER(SEARCH("espagn",B724)),ISNUMBER(SEARCH("catalan",B724)),ISNUMBER(SEARCH("flamand",B724)),ISNUMBER(SEARCH("belge",B724)),ISNUMBER(SEARCH("hollandais",B724)),ISNUMBER(SEARCH("néerlandais",B724)),ISNUMBER(SEARCH("allemand",B724)),ISNUMBER(SEARCH("autrichien",B724)),ISNUMBER(SEARCH("suisse",B724)),ISNUMBER(SEARCH("anglais",B724)),ISNUMBER(SEARCH("britannique",B724)),ISNUMBER(SEARCH("écossais",B724)),ISNUMBER(SEARCH("irlandais",B724)),ISNUMBER(SEARCH("russe",B724)),ISNUMBER(SEARCH("portugais",B724)),ISNUMBER(SEARCH("danois",B724)),ISNUMBER(SEARCH("norvégien",B724)),ISNUMBER(SEARCH("suédois",B724)),ISNUMBER(SEARCH("finlandais",B724)),ISNUMBER(SEARCH("polonais",B724)),ISNUMBER(SEARCH("tchèque",B724)),ISNUMBER(SEARCH("hongrois",B724)),ISNUMBER(SEARCH("grec",B724)),ISNUMBER(SEARCH("byzantin",B724)),ISNUMBER(SEARCH("croate",B724)),ISNUMBER(SEARCH("ukrainien",B724)),ISNUMBER(SEARCH("bulgare",B724)),ISNUMBER(SEARCH("biélorusse",B724)),ISNUMBER(SEARCH("maltais",B724))),"Autres pays d'Europe",IF(OR(ISNUMBER(SEARCH("américain",B724)),ISNUMBER(SEARCH("mexicain",B724)),ISNUMBER(SEARCH("canadien",B724)),ISNUMBER(SEARCH("brésilien",B724)),ISNUMBER(SEARCH("argentin",B724))),"Amérique",IF(OR(ISNUMBER(SEARCH("chinois",B724)),ISNUMBER(SEARCH("japonais",B724)),ISNUMBER(SEARCH("coréen",B724)),ISNUMBER(SEARCH("indien",B724)),ISNUMBER(SEARCH("persan",B724)),ISNUMBER(SEARCH("iranien",B724))),"Asie","(non classée)"))))</f>
        <v/>
      </c>
    </row>
    <row r="725">
      <c r="A725" s="2" t="inlineStr">
        <is>
          <t>WANG MENG</t>
        </is>
      </c>
      <c r="B725" s="2" t="inlineStr">
        <is>
          <t>chinoise</t>
        </is>
      </c>
      <c r="C725" s="2" t="inlineStr">
        <is>
          <t>peinture</t>
        </is>
      </c>
      <c r="D725" s="2" t="inlineStr">
        <is>
          <t>14e</t>
        </is>
      </c>
      <c r="U725">
        <f>IF(ISNUMBER(SEARCH("fran",B725)),"France",IF(OR(ISNUMBER(SEARCH("italien",B725)),ISNUMBER(SEARCH("espagn",B725)),ISNUMBER(SEARCH("catalan",B725)),ISNUMBER(SEARCH("flamand",B725)),ISNUMBER(SEARCH("belge",B725)),ISNUMBER(SEARCH("hollandais",B725)),ISNUMBER(SEARCH("néerlandais",B725)),ISNUMBER(SEARCH("allemand",B725)),ISNUMBER(SEARCH("autrichien",B725)),ISNUMBER(SEARCH("suisse",B725)),ISNUMBER(SEARCH("anglais",B725)),ISNUMBER(SEARCH("britannique",B725)),ISNUMBER(SEARCH("écossais",B725)),ISNUMBER(SEARCH("irlandais",B725)),ISNUMBER(SEARCH("russe",B725)),ISNUMBER(SEARCH("portugais",B725)),ISNUMBER(SEARCH("danois",B725)),ISNUMBER(SEARCH("norvégien",B725)),ISNUMBER(SEARCH("suédois",B725)),ISNUMBER(SEARCH("finlandais",B725)),ISNUMBER(SEARCH("polonais",B725)),ISNUMBER(SEARCH("tchèque",B725)),ISNUMBER(SEARCH("hongrois",B725)),ISNUMBER(SEARCH("grec",B725)),ISNUMBER(SEARCH("byzantin",B725)),ISNUMBER(SEARCH("croate",B725)),ISNUMBER(SEARCH("ukrainien",B725)),ISNUMBER(SEARCH("bulgare",B725)),ISNUMBER(SEARCH("biélorusse",B725)),ISNUMBER(SEARCH("maltais",B725))),"Autres pays d'Europe",IF(OR(ISNUMBER(SEARCH("américain",B725)),ISNUMBER(SEARCH("mexicain",B725)),ISNUMBER(SEARCH("canadien",B725)),ISNUMBER(SEARCH("brésilien",B725)),ISNUMBER(SEARCH("argentin",B725))),"Amérique",IF(OR(ISNUMBER(SEARCH("chinois",B725)),ISNUMBER(SEARCH("japonais",B725)),ISNUMBER(SEARCH("coréen",B725)),ISNUMBER(SEARCH("indien",B725)),ISNUMBER(SEARCH("persan",B725)),ISNUMBER(SEARCH("iranien",B725))),"Asie","(non classée)"))))</f>
        <v/>
      </c>
    </row>
    <row r="726">
      <c r="A726" s="2" t="inlineStr">
        <is>
          <t>WASSILY KANDINSKY</t>
        </is>
      </c>
      <c r="B726" s="2" t="inlineStr">
        <is>
          <t>allemande</t>
        </is>
      </c>
      <c r="C726" s="2" t="inlineStr">
        <is>
          <t>peinture</t>
        </is>
      </c>
      <c r="D726" s="2" t="inlineStr">
        <is>
          <t>20e</t>
        </is>
      </c>
      <c r="U726">
        <f>IF(ISNUMBER(SEARCH("fran",B726)),"France",IF(OR(ISNUMBER(SEARCH("italien",B726)),ISNUMBER(SEARCH("espagn",B726)),ISNUMBER(SEARCH("catalan",B726)),ISNUMBER(SEARCH("flamand",B726)),ISNUMBER(SEARCH("belge",B726)),ISNUMBER(SEARCH("hollandais",B726)),ISNUMBER(SEARCH("néerlandais",B726)),ISNUMBER(SEARCH("allemand",B726)),ISNUMBER(SEARCH("autrichien",B726)),ISNUMBER(SEARCH("suisse",B726)),ISNUMBER(SEARCH("anglais",B726)),ISNUMBER(SEARCH("britannique",B726)),ISNUMBER(SEARCH("écossais",B726)),ISNUMBER(SEARCH("irlandais",B726)),ISNUMBER(SEARCH("russe",B726)),ISNUMBER(SEARCH("portugais",B726)),ISNUMBER(SEARCH("danois",B726)),ISNUMBER(SEARCH("norvégien",B726)),ISNUMBER(SEARCH("suédois",B726)),ISNUMBER(SEARCH("finlandais",B726)),ISNUMBER(SEARCH("polonais",B726)),ISNUMBER(SEARCH("tchèque",B726)),ISNUMBER(SEARCH("hongrois",B726)),ISNUMBER(SEARCH("grec",B726)),ISNUMBER(SEARCH("byzantin",B726)),ISNUMBER(SEARCH("croate",B726)),ISNUMBER(SEARCH("ukrainien",B726)),ISNUMBER(SEARCH("bulgare",B726)),ISNUMBER(SEARCH("biélorusse",B726)),ISNUMBER(SEARCH("maltais",B726))),"Autres pays d'Europe",IF(OR(ISNUMBER(SEARCH("américain",B726)),ISNUMBER(SEARCH("mexicain",B726)),ISNUMBER(SEARCH("canadien",B726)),ISNUMBER(SEARCH("brésilien",B726)),ISNUMBER(SEARCH("argentin",B726))),"Amérique",IF(OR(ISNUMBER(SEARCH("chinois",B726)),ISNUMBER(SEARCH("japonais",B726)),ISNUMBER(SEARCH("coréen",B726)),ISNUMBER(SEARCH("indien",B726)),ISNUMBER(SEARCH("persan",B726)),ISNUMBER(SEARCH("iranien",B726))),"Asie","(non classée)"))))</f>
        <v/>
      </c>
    </row>
    <row r="727">
      <c r="A727" s="2" t="inlineStr">
        <is>
          <t>WENZEL JAMNITZER</t>
        </is>
      </c>
      <c r="B727" s="2" t="inlineStr">
        <is>
          <t>allemande</t>
        </is>
      </c>
      <c r="C727" s="2" t="inlineStr">
        <is>
          <t>sculpture</t>
        </is>
      </c>
      <c r="D727" s="2" t="inlineStr">
        <is>
          <t>16e</t>
        </is>
      </c>
      <c r="U727">
        <f>IF(ISNUMBER(SEARCH("fran",B727)),"France",IF(OR(ISNUMBER(SEARCH("italien",B727)),ISNUMBER(SEARCH("espagn",B727)),ISNUMBER(SEARCH("catalan",B727)),ISNUMBER(SEARCH("flamand",B727)),ISNUMBER(SEARCH("belge",B727)),ISNUMBER(SEARCH("hollandais",B727)),ISNUMBER(SEARCH("néerlandais",B727)),ISNUMBER(SEARCH("allemand",B727)),ISNUMBER(SEARCH("autrichien",B727)),ISNUMBER(SEARCH("suisse",B727)),ISNUMBER(SEARCH("anglais",B727)),ISNUMBER(SEARCH("britannique",B727)),ISNUMBER(SEARCH("écossais",B727)),ISNUMBER(SEARCH("irlandais",B727)),ISNUMBER(SEARCH("russe",B727)),ISNUMBER(SEARCH("portugais",B727)),ISNUMBER(SEARCH("danois",B727)),ISNUMBER(SEARCH("norvégien",B727)),ISNUMBER(SEARCH("suédois",B727)),ISNUMBER(SEARCH("finlandais",B727)),ISNUMBER(SEARCH("polonais",B727)),ISNUMBER(SEARCH("tchèque",B727)),ISNUMBER(SEARCH("hongrois",B727)),ISNUMBER(SEARCH("grec",B727)),ISNUMBER(SEARCH("byzantin",B727)),ISNUMBER(SEARCH("croate",B727)),ISNUMBER(SEARCH("ukrainien",B727)),ISNUMBER(SEARCH("bulgare",B727)),ISNUMBER(SEARCH("biélorusse",B727)),ISNUMBER(SEARCH("maltais",B727))),"Autres pays d'Europe",IF(OR(ISNUMBER(SEARCH("américain",B727)),ISNUMBER(SEARCH("mexicain",B727)),ISNUMBER(SEARCH("canadien",B727)),ISNUMBER(SEARCH("brésilien",B727)),ISNUMBER(SEARCH("argentin",B727))),"Amérique",IF(OR(ISNUMBER(SEARCH("chinois",B727)),ISNUMBER(SEARCH("japonais",B727)),ISNUMBER(SEARCH("coréen",B727)),ISNUMBER(SEARCH("indien",B727)),ISNUMBER(SEARCH("persan",B727)),ISNUMBER(SEARCH("iranien",B727))),"Asie","(non classée)"))))</f>
        <v/>
      </c>
    </row>
    <row r="728">
      <c r="A728" s="2" t="inlineStr">
        <is>
          <t>WILHELM LEHMBRUCK</t>
        </is>
      </c>
      <c r="B728" s="2" t="inlineStr">
        <is>
          <t>allemande</t>
        </is>
      </c>
      <c r="C728" s="2" t="inlineStr">
        <is>
          <t>sculpture</t>
        </is>
      </c>
      <c r="D728" s="2" t="inlineStr">
        <is>
          <t>20e</t>
        </is>
      </c>
      <c r="U728">
        <f>IF(ISNUMBER(SEARCH("fran",B728)),"France",IF(OR(ISNUMBER(SEARCH("italien",B728)),ISNUMBER(SEARCH("espagn",B728)),ISNUMBER(SEARCH("catalan",B728)),ISNUMBER(SEARCH("flamand",B728)),ISNUMBER(SEARCH("belge",B728)),ISNUMBER(SEARCH("hollandais",B728)),ISNUMBER(SEARCH("néerlandais",B728)),ISNUMBER(SEARCH("allemand",B728)),ISNUMBER(SEARCH("autrichien",B728)),ISNUMBER(SEARCH("suisse",B728)),ISNUMBER(SEARCH("anglais",B728)),ISNUMBER(SEARCH("britannique",B728)),ISNUMBER(SEARCH("écossais",B728)),ISNUMBER(SEARCH("irlandais",B728)),ISNUMBER(SEARCH("russe",B728)),ISNUMBER(SEARCH("portugais",B728)),ISNUMBER(SEARCH("danois",B728)),ISNUMBER(SEARCH("norvégien",B728)),ISNUMBER(SEARCH("suédois",B728)),ISNUMBER(SEARCH("finlandais",B728)),ISNUMBER(SEARCH("polonais",B728)),ISNUMBER(SEARCH("tchèque",B728)),ISNUMBER(SEARCH("hongrois",B728)),ISNUMBER(SEARCH("grec",B728)),ISNUMBER(SEARCH("byzantin",B728)),ISNUMBER(SEARCH("croate",B728)),ISNUMBER(SEARCH("ukrainien",B728)),ISNUMBER(SEARCH("bulgare",B728)),ISNUMBER(SEARCH("biélorusse",B728)),ISNUMBER(SEARCH("maltais",B728))),"Autres pays d'Europe",IF(OR(ISNUMBER(SEARCH("américain",B728)),ISNUMBER(SEARCH("mexicain",B728)),ISNUMBER(SEARCH("canadien",B728)),ISNUMBER(SEARCH("brésilien",B728)),ISNUMBER(SEARCH("argentin",B728))),"Amérique",IF(OR(ISNUMBER(SEARCH("chinois",B728)),ISNUMBER(SEARCH("japonais",B728)),ISNUMBER(SEARCH("coréen",B728)),ISNUMBER(SEARCH("indien",B728)),ISNUMBER(SEARCH("persan",B728)),ISNUMBER(SEARCH("iranien",B728))),"Asie","(non classée)"))))</f>
        <v/>
      </c>
    </row>
    <row r="729">
      <c r="A729" s="2" t="inlineStr">
        <is>
          <t>WILLEM CLAESZOON HEDA</t>
        </is>
      </c>
      <c r="B729" s="2" t="inlineStr">
        <is>
          <t>hollandaise (Pays-Bas)</t>
        </is>
      </c>
      <c r="C729" s="2" t="inlineStr">
        <is>
          <t>peinture</t>
        </is>
      </c>
      <c r="D729" s="2" t="inlineStr">
        <is>
          <t>17e</t>
        </is>
      </c>
      <c r="U729">
        <f>IF(ISNUMBER(SEARCH("fran",B729)),"France",IF(OR(ISNUMBER(SEARCH("italien",B729)),ISNUMBER(SEARCH("espagn",B729)),ISNUMBER(SEARCH("catalan",B729)),ISNUMBER(SEARCH("flamand",B729)),ISNUMBER(SEARCH("belge",B729)),ISNUMBER(SEARCH("hollandais",B729)),ISNUMBER(SEARCH("néerlandais",B729)),ISNUMBER(SEARCH("allemand",B729)),ISNUMBER(SEARCH("autrichien",B729)),ISNUMBER(SEARCH("suisse",B729)),ISNUMBER(SEARCH("anglais",B729)),ISNUMBER(SEARCH("britannique",B729)),ISNUMBER(SEARCH("écossais",B729)),ISNUMBER(SEARCH("irlandais",B729)),ISNUMBER(SEARCH("russe",B729)),ISNUMBER(SEARCH("portugais",B729)),ISNUMBER(SEARCH("danois",B729)),ISNUMBER(SEARCH("norvégien",B729)),ISNUMBER(SEARCH("suédois",B729)),ISNUMBER(SEARCH("finlandais",B729)),ISNUMBER(SEARCH("polonais",B729)),ISNUMBER(SEARCH("tchèque",B729)),ISNUMBER(SEARCH("hongrois",B729)),ISNUMBER(SEARCH("grec",B729)),ISNUMBER(SEARCH("byzantin",B729)),ISNUMBER(SEARCH("croate",B729)),ISNUMBER(SEARCH("ukrainien",B729)),ISNUMBER(SEARCH("bulgare",B729)),ISNUMBER(SEARCH("biélorusse",B729)),ISNUMBER(SEARCH("maltais",B729))),"Autres pays d'Europe",IF(OR(ISNUMBER(SEARCH("américain",B729)),ISNUMBER(SEARCH("mexicain",B729)),ISNUMBER(SEARCH("canadien",B729)),ISNUMBER(SEARCH("brésilien",B729)),ISNUMBER(SEARCH("argentin",B729))),"Amérique",IF(OR(ISNUMBER(SEARCH("chinois",B729)),ISNUMBER(SEARCH("japonais",B729)),ISNUMBER(SEARCH("coréen",B729)),ISNUMBER(SEARCH("indien",B729)),ISNUMBER(SEARCH("persan",B729)),ISNUMBER(SEARCH("iranien",B729))),"Asie","(non classée)"))))</f>
        <v/>
      </c>
    </row>
    <row r="730">
      <c r="A730" s="2" t="inlineStr">
        <is>
          <t>WILLEM KALF</t>
        </is>
      </c>
      <c r="B730" s="2" t="inlineStr">
        <is>
          <t>hollandaise (Pays-Bas)</t>
        </is>
      </c>
      <c r="C730" s="2" t="inlineStr">
        <is>
          <t>peinture</t>
        </is>
      </c>
      <c r="D730" s="2" t="inlineStr">
        <is>
          <t>17e</t>
        </is>
      </c>
      <c r="U730">
        <f>IF(ISNUMBER(SEARCH("fran",B730)),"France",IF(OR(ISNUMBER(SEARCH("italien",B730)),ISNUMBER(SEARCH("espagn",B730)),ISNUMBER(SEARCH("catalan",B730)),ISNUMBER(SEARCH("flamand",B730)),ISNUMBER(SEARCH("belge",B730)),ISNUMBER(SEARCH("hollandais",B730)),ISNUMBER(SEARCH("néerlandais",B730)),ISNUMBER(SEARCH("allemand",B730)),ISNUMBER(SEARCH("autrichien",B730)),ISNUMBER(SEARCH("suisse",B730)),ISNUMBER(SEARCH("anglais",B730)),ISNUMBER(SEARCH("britannique",B730)),ISNUMBER(SEARCH("écossais",B730)),ISNUMBER(SEARCH("irlandais",B730)),ISNUMBER(SEARCH("russe",B730)),ISNUMBER(SEARCH("portugais",B730)),ISNUMBER(SEARCH("danois",B730)),ISNUMBER(SEARCH("norvégien",B730)),ISNUMBER(SEARCH("suédois",B730)),ISNUMBER(SEARCH("finlandais",B730)),ISNUMBER(SEARCH("polonais",B730)),ISNUMBER(SEARCH("tchèque",B730)),ISNUMBER(SEARCH("hongrois",B730)),ISNUMBER(SEARCH("grec",B730)),ISNUMBER(SEARCH("byzantin",B730)),ISNUMBER(SEARCH("croate",B730)),ISNUMBER(SEARCH("ukrainien",B730)),ISNUMBER(SEARCH("bulgare",B730)),ISNUMBER(SEARCH("biélorusse",B730)),ISNUMBER(SEARCH("maltais",B730))),"Autres pays d'Europe",IF(OR(ISNUMBER(SEARCH("américain",B730)),ISNUMBER(SEARCH("mexicain",B730)),ISNUMBER(SEARCH("canadien",B730)),ISNUMBER(SEARCH("brésilien",B730)),ISNUMBER(SEARCH("argentin",B730))),"Amérique",IF(OR(ISNUMBER(SEARCH("chinois",B730)),ISNUMBER(SEARCH("japonais",B730)),ISNUMBER(SEARCH("coréen",B730)),ISNUMBER(SEARCH("indien",B730)),ISNUMBER(SEARCH("persan",B730)),ISNUMBER(SEARCH("iranien",B730))),"Asie","(non classée)"))))</f>
        <v/>
      </c>
    </row>
    <row r="731">
      <c r="A731" s="2" t="inlineStr">
        <is>
          <t>WILLEM VAN TETRODE</t>
        </is>
      </c>
      <c r="B731" s="2" t="inlineStr">
        <is>
          <t>hollandaise (Pays-Bas)</t>
        </is>
      </c>
      <c r="C731" s="2" t="inlineStr">
        <is>
          <t>sculpture</t>
        </is>
      </c>
      <c r="D731" s="2" t="inlineStr">
        <is>
          <t>16e</t>
        </is>
      </c>
      <c r="U731">
        <f>IF(ISNUMBER(SEARCH("fran",B731)),"France",IF(OR(ISNUMBER(SEARCH("italien",B731)),ISNUMBER(SEARCH("espagn",B731)),ISNUMBER(SEARCH("catalan",B731)),ISNUMBER(SEARCH("flamand",B731)),ISNUMBER(SEARCH("belge",B731)),ISNUMBER(SEARCH("hollandais",B731)),ISNUMBER(SEARCH("néerlandais",B731)),ISNUMBER(SEARCH("allemand",B731)),ISNUMBER(SEARCH("autrichien",B731)),ISNUMBER(SEARCH("suisse",B731)),ISNUMBER(SEARCH("anglais",B731)),ISNUMBER(SEARCH("britannique",B731)),ISNUMBER(SEARCH("écossais",B731)),ISNUMBER(SEARCH("irlandais",B731)),ISNUMBER(SEARCH("russe",B731)),ISNUMBER(SEARCH("portugais",B731)),ISNUMBER(SEARCH("danois",B731)),ISNUMBER(SEARCH("norvégien",B731)),ISNUMBER(SEARCH("suédois",B731)),ISNUMBER(SEARCH("finlandais",B731)),ISNUMBER(SEARCH("polonais",B731)),ISNUMBER(SEARCH("tchèque",B731)),ISNUMBER(SEARCH("hongrois",B731)),ISNUMBER(SEARCH("grec",B731)),ISNUMBER(SEARCH("byzantin",B731)),ISNUMBER(SEARCH("croate",B731)),ISNUMBER(SEARCH("ukrainien",B731)),ISNUMBER(SEARCH("bulgare",B731)),ISNUMBER(SEARCH("biélorusse",B731)),ISNUMBER(SEARCH("maltais",B731))),"Autres pays d'Europe",IF(OR(ISNUMBER(SEARCH("américain",B731)),ISNUMBER(SEARCH("mexicain",B731)),ISNUMBER(SEARCH("canadien",B731)),ISNUMBER(SEARCH("brésilien",B731)),ISNUMBER(SEARCH("argentin",B731))),"Amérique",IF(OR(ISNUMBER(SEARCH("chinois",B731)),ISNUMBER(SEARCH("japonais",B731)),ISNUMBER(SEARCH("coréen",B731)),ISNUMBER(SEARCH("indien",B731)),ISNUMBER(SEARCH("persan",B731)),ISNUMBER(SEARCH("iranien",B731))),"Asie","(non classée)"))))</f>
        <v/>
      </c>
    </row>
    <row r="732">
      <c r="A732" s="2" t="inlineStr">
        <is>
          <t>WILLEM VAN DE VELDE LE JEUNE</t>
        </is>
      </c>
      <c r="B732" s="2" t="inlineStr">
        <is>
          <t>hollandaise (Pays-Bas)</t>
        </is>
      </c>
      <c r="C732" s="2" t="inlineStr">
        <is>
          <t>peinture</t>
        </is>
      </c>
      <c r="D732" s="2" t="inlineStr">
        <is>
          <t>17e</t>
        </is>
      </c>
      <c r="U732">
        <f>IF(ISNUMBER(SEARCH("fran",B732)),"France",IF(OR(ISNUMBER(SEARCH("italien",B732)),ISNUMBER(SEARCH("espagn",B732)),ISNUMBER(SEARCH("catalan",B732)),ISNUMBER(SEARCH("flamand",B732)),ISNUMBER(SEARCH("belge",B732)),ISNUMBER(SEARCH("hollandais",B732)),ISNUMBER(SEARCH("néerlandais",B732)),ISNUMBER(SEARCH("allemand",B732)),ISNUMBER(SEARCH("autrichien",B732)),ISNUMBER(SEARCH("suisse",B732)),ISNUMBER(SEARCH("anglais",B732)),ISNUMBER(SEARCH("britannique",B732)),ISNUMBER(SEARCH("écossais",B732)),ISNUMBER(SEARCH("irlandais",B732)),ISNUMBER(SEARCH("russe",B732)),ISNUMBER(SEARCH("portugais",B732)),ISNUMBER(SEARCH("danois",B732)),ISNUMBER(SEARCH("norvégien",B732)),ISNUMBER(SEARCH("suédois",B732)),ISNUMBER(SEARCH("finlandais",B732)),ISNUMBER(SEARCH("polonais",B732)),ISNUMBER(SEARCH("tchèque",B732)),ISNUMBER(SEARCH("hongrois",B732)),ISNUMBER(SEARCH("grec",B732)),ISNUMBER(SEARCH("byzantin",B732)),ISNUMBER(SEARCH("croate",B732)),ISNUMBER(SEARCH("ukrainien",B732)),ISNUMBER(SEARCH("bulgare",B732)),ISNUMBER(SEARCH("biélorusse",B732)),ISNUMBER(SEARCH("maltais",B732))),"Autres pays d'Europe",IF(OR(ISNUMBER(SEARCH("américain",B732)),ISNUMBER(SEARCH("mexicain",B732)),ISNUMBER(SEARCH("canadien",B732)),ISNUMBER(SEARCH("brésilien",B732)),ISNUMBER(SEARCH("argentin",B732))),"Amérique",IF(OR(ISNUMBER(SEARCH("chinois",B732)),ISNUMBER(SEARCH("japonais",B732)),ISNUMBER(SEARCH("coréen",B732)),ISNUMBER(SEARCH("indien",B732)),ISNUMBER(SEARCH("persan",B732)),ISNUMBER(SEARCH("iranien",B732))),"Asie","(non classée)"))))</f>
        <v/>
      </c>
    </row>
    <row r="733">
      <c r="A733" s="2" t="inlineStr">
        <is>
          <t>WILLIAM BLAKE</t>
        </is>
      </c>
      <c r="B733" s="2" t="inlineStr">
        <is>
          <t>anglaise (Royaume-Uni)</t>
        </is>
      </c>
      <c r="C733" s="2" t="inlineStr">
        <is>
          <t>peinture</t>
        </is>
      </c>
      <c r="D733" s="2" t="inlineStr">
        <is>
          <t>18e, 19e</t>
        </is>
      </c>
      <c r="U733">
        <f>IF(ISNUMBER(SEARCH("fran",B733)),"France",IF(OR(ISNUMBER(SEARCH("italien",B733)),ISNUMBER(SEARCH("espagn",B733)),ISNUMBER(SEARCH("catalan",B733)),ISNUMBER(SEARCH("flamand",B733)),ISNUMBER(SEARCH("belge",B733)),ISNUMBER(SEARCH("hollandais",B733)),ISNUMBER(SEARCH("néerlandais",B733)),ISNUMBER(SEARCH("allemand",B733)),ISNUMBER(SEARCH("autrichien",B733)),ISNUMBER(SEARCH("suisse",B733)),ISNUMBER(SEARCH("anglais",B733)),ISNUMBER(SEARCH("britannique",B733)),ISNUMBER(SEARCH("écossais",B733)),ISNUMBER(SEARCH("irlandais",B733)),ISNUMBER(SEARCH("russe",B733)),ISNUMBER(SEARCH("portugais",B733)),ISNUMBER(SEARCH("danois",B733)),ISNUMBER(SEARCH("norvégien",B733)),ISNUMBER(SEARCH("suédois",B733)),ISNUMBER(SEARCH("finlandais",B733)),ISNUMBER(SEARCH("polonais",B733)),ISNUMBER(SEARCH("tchèque",B733)),ISNUMBER(SEARCH("hongrois",B733)),ISNUMBER(SEARCH("grec",B733)),ISNUMBER(SEARCH("byzantin",B733)),ISNUMBER(SEARCH("croate",B733)),ISNUMBER(SEARCH("ukrainien",B733)),ISNUMBER(SEARCH("bulgare",B733)),ISNUMBER(SEARCH("biélorusse",B733)),ISNUMBER(SEARCH("maltais",B733))),"Autres pays d'Europe",IF(OR(ISNUMBER(SEARCH("américain",B733)),ISNUMBER(SEARCH("mexicain",B733)),ISNUMBER(SEARCH("canadien",B733)),ISNUMBER(SEARCH("brésilien",B733)),ISNUMBER(SEARCH("argentin",B733))),"Amérique",IF(OR(ISNUMBER(SEARCH("chinois",B733)),ISNUMBER(SEARCH("japonais",B733)),ISNUMBER(SEARCH("coréen",B733)),ISNUMBER(SEARCH("indien",B733)),ISNUMBER(SEARCH("persan",B733)),ISNUMBER(SEARCH("iranien",B733))),"Asie","(non classée)"))))</f>
        <v/>
      </c>
    </row>
    <row r="734">
      <c r="A734" s="2" t="inlineStr">
        <is>
          <t>WILLIAM BOUGUEREAU</t>
        </is>
      </c>
      <c r="B734" s="2" t="inlineStr">
        <is>
          <t>française</t>
        </is>
      </c>
      <c r="C734" s="2" t="inlineStr">
        <is>
          <t>peinture</t>
        </is>
      </c>
      <c r="D734" s="2" t="inlineStr">
        <is>
          <t>19e</t>
        </is>
      </c>
      <c r="U734">
        <f>IF(ISNUMBER(SEARCH("fran",B734)),"France",IF(OR(ISNUMBER(SEARCH("italien",B734)),ISNUMBER(SEARCH("espagn",B734)),ISNUMBER(SEARCH("catalan",B734)),ISNUMBER(SEARCH("flamand",B734)),ISNUMBER(SEARCH("belge",B734)),ISNUMBER(SEARCH("hollandais",B734)),ISNUMBER(SEARCH("néerlandais",B734)),ISNUMBER(SEARCH("allemand",B734)),ISNUMBER(SEARCH("autrichien",B734)),ISNUMBER(SEARCH("suisse",B734)),ISNUMBER(SEARCH("anglais",B734)),ISNUMBER(SEARCH("britannique",B734)),ISNUMBER(SEARCH("écossais",B734)),ISNUMBER(SEARCH("irlandais",B734)),ISNUMBER(SEARCH("russe",B734)),ISNUMBER(SEARCH("portugais",B734)),ISNUMBER(SEARCH("danois",B734)),ISNUMBER(SEARCH("norvégien",B734)),ISNUMBER(SEARCH("suédois",B734)),ISNUMBER(SEARCH("finlandais",B734)),ISNUMBER(SEARCH("polonais",B734)),ISNUMBER(SEARCH("tchèque",B734)),ISNUMBER(SEARCH("hongrois",B734)),ISNUMBER(SEARCH("grec",B734)),ISNUMBER(SEARCH("byzantin",B734)),ISNUMBER(SEARCH("croate",B734)),ISNUMBER(SEARCH("ukrainien",B734)),ISNUMBER(SEARCH("bulgare",B734)),ISNUMBER(SEARCH("biélorusse",B734)),ISNUMBER(SEARCH("maltais",B734))),"Autres pays d'Europe",IF(OR(ISNUMBER(SEARCH("américain",B734)),ISNUMBER(SEARCH("mexicain",B734)),ISNUMBER(SEARCH("canadien",B734)),ISNUMBER(SEARCH("brésilien",B734)),ISNUMBER(SEARCH("argentin",B734))),"Amérique",IF(OR(ISNUMBER(SEARCH("chinois",B734)),ISNUMBER(SEARCH("japonais",B734)),ISNUMBER(SEARCH("coréen",B734)),ISNUMBER(SEARCH("indien",B734)),ISNUMBER(SEARCH("persan",B734)),ISNUMBER(SEARCH("iranien",B734))),"Asie","(non classée)"))))</f>
        <v/>
      </c>
    </row>
    <row r="735">
      <c r="A735" s="2" t="inlineStr">
        <is>
          <t>WILLIAM HOGARTH</t>
        </is>
      </c>
      <c r="B735" s="2" t="inlineStr">
        <is>
          <t>anglaise (Royaume-Uni)</t>
        </is>
      </c>
      <c r="C735" s="2" t="inlineStr">
        <is>
          <t>peinture</t>
        </is>
      </c>
      <c r="D735" s="2" t="inlineStr">
        <is>
          <t>18e</t>
        </is>
      </c>
      <c r="U735">
        <f>IF(ISNUMBER(SEARCH("fran",B735)),"France",IF(OR(ISNUMBER(SEARCH("italien",B735)),ISNUMBER(SEARCH("espagn",B735)),ISNUMBER(SEARCH("catalan",B735)),ISNUMBER(SEARCH("flamand",B735)),ISNUMBER(SEARCH("belge",B735)),ISNUMBER(SEARCH("hollandais",B735)),ISNUMBER(SEARCH("néerlandais",B735)),ISNUMBER(SEARCH("allemand",B735)),ISNUMBER(SEARCH("autrichien",B735)),ISNUMBER(SEARCH("suisse",B735)),ISNUMBER(SEARCH("anglais",B735)),ISNUMBER(SEARCH("britannique",B735)),ISNUMBER(SEARCH("écossais",B735)),ISNUMBER(SEARCH("irlandais",B735)),ISNUMBER(SEARCH("russe",B735)),ISNUMBER(SEARCH("portugais",B735)),ISNUMBER(SEARCH("danois",B735)),ISNUMBER(SEARCH("norvégien",B735)),ISNUMBER(SEARCH("suédois",B735)),ISNUMBER(SEARCH("finlandais",B735)),ISNUMBER(SEARCH("polonais",B735)),ISNUMBER(SEARCH("tchèque",B735)),ISNUMBER(SEARCH("hongrois",B735)),ISNUMBER(SEARCH("grec",B735)),ISNUMBER(SEARCH("byzantin",B735)),ISNUMBER(SEARCH("croate",B735)),ISNUMBER(SEARCH("ukrainien",B735)),ISNUMBER(SEARCH("bulgare",B735)),ISNUMBER(SEARCH("biélorusse",B735)),ISNUMBER(SEARCH("maltais",B735))),"Autres pays d'Europe",IF(OR(ISNUMBER(SEARCH("américain",B735)),ISNUMBER(SEARCH("mexicain",B735)),ISNUMBER(SEARCH("canadien",B735)),ISNUMBER(SEARCH("brésilien",B735)),ISNUMBER(SEARCH("argentin",B735))),"Amérique",IF(OR(ISNUMBER(SEARCH("chinois",B735)),ISNUMBER(SEARCH("japonais",B735)),ISNUMBER(SEARCH("coréen",B735)),ISNUMBER(SEARCH("indien",B735)),ISNUMBER(SEARCH("persan",B735)),ISNUMBER(SEARCH("iranien",B735))),"Asie","(non classée)"))))</f>
        <v/>
      </c>
    </row>
    <row r="736">
      <c r="A736" s="2" t="inlineStr">
        <is>
          <t>WILLIAM WETMORE STORY</t>
        </is>
      </c>
      <c r="B736" s="2" t="inlineStr">
        <is>
          <t>américaine</t>
        </is>
      </c>
      <c r="C736" s="2" t="inlineStr">
        <is>
          <t>sculpture</t>
        </is>
      </c>
      <c r="D736" s="2" t="inlineStr">
        <is>
          <t>19e</t>
        </is>
      </c>
      <c r="U736">
        <f>IF(ISNUMBER(SEARCH("fran",B736)),"France",IF(OR(ISNUMBER(SEARCH("italien",B736)),ISNUMBER(SEARCH("espagn",B736)),ISNUMBER(SEARCH("catalan",B736)),ISNUMBER(SEARCH("flamand",B736)),ISNUMBER(SEARCH("belge",B736)),ISNUMBER(SEARCH("hollandais",B736)),ISNUMBER(SEARCH("néerlandais",B736)),ISNUMBER(SEARCH("allemand",B736)),ISNUMBER(SEARCH("autrichien",B736)),ISNUMBER(SEARCH("suisse",B736)),ISNUMBER(SEARCH("anglais",B736)),ISNUMBER(SEARCH("britannique",B736)),ISNUMBER(SEARCH("écossais",B736)),ISNUMBER(SEARCH("irlandais",B736)),ISNUMBER(SEARCH("russe",B736)),ISNUMBER(SEARCH("portugais",B736)),ISNUMBER(SEARCH("danois",B736)),ISNUMBER(SEARCH("norvégien",B736)),ISNUMBER(SEARCH("suédois",B736)),ISNUMBER(SEARCH("finlandais",B736)),ISNUMBER(SEARCH("polonais",B736)),ISNUMBER(SEARCH("tchèque",B736)),ISNUMBER(SEARCH("hongrois",B736)),ISNUMBER(SEARCH("grec",B736)),ISNUMBER(SEARCH("byzantin",B736)),ISNUMBER(SEARCH("croate",B736)),ISNUMBER(SEARCH("ukrainien",B736)),ISNUMBER(SEARCH("bulgare",B736)),ISNUMBER(SEARCH("biélorusse",B736)),ISNUMBER(SEARCH("maltais",B736))),"Autres pays d'Europe",IF(OR(ISNUMBER(SEARCH("américain",B736)),ISNUMBER(SEARCH("mexicain",B736)),ISNUMBER(SEARCH("canadien",B736)),ISNUMBER(SEARCH("brésilien",B736)),ISNUMBER(SEARCH("argentin",B736))),"Amérique",IF(OR(ISNUMBER(SEARCH("chinois",B736)),ISNUMBER(SEARCH("japonais",B736)),ISNUMBER(SEARCH("coréen",B736)),ISNUMBER(SEARCH("indien",B736)),ISNUMBER(SEARCH("persan",B736)),ISNUMBER(SEARCH("iranien",B736))),"Asie","(non classée)"))))</f>
        <v/>
      </c>
    </row>
    <row r="737">
      <c r="A737" s="2" t="inlineStr">
        <is>
          <t>WU ZHEN</t>
        </is>
      </c>
      <c r="B737" s="2" t="inlineStr">
        <is>
          <t>chinoise</t>
        </is>
      </c>
      <c r="C737" s="2" t="inlineStr">
        <is>
          <t>peinture</t>
        </is>
      </c>
      <c r="D737" s="2" t="inlineStr">
        <is>
          <t>14e</t>
        </is>
      </c>
      <c r="U737">
        <f>IF(ISNUMBER(SEARCH("fran",B737)),"France",IF(OR(ISNUMBER(SEARCH("italien",B737)),ISNUMBER(SEARCH("espagn",B737)),ISNUMBER(SEARCH("catalan",B737)),ISNUMBER(SEARCH("flamand",B737)),ISNUMBER(SEARCH("belge",B737)),ISNUMBER(SEARCH("hollandais",B737)),ISNUMBER(SEARCH("néerlandais",B737)),ISNUMBER(SEARCH("allemand",B737)),ISNUMBER(SEARCH("autrichien",B737)),ISNUMBER(SEARCH("suisse",B737)),ISNUMBER(SEARCH("anglais",B737)),ISNUMBER(SEARCH("britannique",B737)),ISNUMBER(SEARCH("écossais",B737)),ISNUMBER(SEARCH("irlandais",B737)),ISNUMBER(SEARCH("russe",B737)),ISNUMBER(SEARCH("portugais",B737)),ISNUMBER(SEARCH("danois",B737)),ISNUMBER(SEARCH("norvégien",B737)),ISNUMBER(SEARCH("suédois",B737)),ISNUMBER(SEARCH("finlandais",B737)),ISNUMBER(SEARCH("polonais",B737)),ISNUMBER(SEARCH("tchèque",B737)),ISNUMBER(SEARCH("hongrois",B737)),ISNUMBER(SEARCH("grec",B737)),ISNUMBER(SEARCH("byzantin",B737)),ISNUMBER(SEARCH("croate",B737)),ISNUMBER(SEARCH("ukrainien",B737)),ISNUMBER(SEARCH("bulgare",B737)),ISNUMBER(SEARCH("biélorusse",B737)),ISNUMBER(SEARCH("maltais",B737))),"Autres pays d'Europe",IF(OR(ISNUMBER(SEARCH("américain",B737)),ISNUMBER(SEARCH("mexicain",B737)),ISNUMBER(SEARCH("canadien",B737)),ISNUMBER(SEARCH("brésilien",B737)),ISNUMBER(SEARCH("argentin",B737))),"Amérique",IF(OR(ISNUMBER(SEARCH("chinois",B737)),ISNUMBER(SEARCH("japonais",B737)),ISNUMBER(SEARCH("coréen",B737)),ISNUMBER(SEARCH("indien",B737)),ISNUMBER(SEARCH("persan",B737)),ISNUMBER(SEARCH("iranien",B737))),"Asie","(non classée)"))))</f>
        <v/>
      </c>
    </row>
    <row r="738">
      <c r="A738" s="2" t="inlineStr">
        <is>
          <t>YUAN JIANG</t>
        </is>
      </c>
      <c r="B738" s="2" t="inlineStr">
        <is>
          <t>chinoise</t>
        </is>
      </c>
      <c r="C738" s="2" t="inlineStr">
        <is>
          <t>peinture</t>
        </is>
      </c>
      <c r="D738" s="2" t="inlineStr">
        <is>
          <t>18e</t>
        </is>
      </c>
      <c r="U738">
        <f>IF(ISNUMBER(SEARCH("fran",B738)),"France",IF(OR(ISNUMBER(SEARCH("italien",B738)),ISNUMBER(SEARCH("espagn",B738)),ISNUMBER(SEARCH("catalan",B738)),ISNUMBER(SEARCH("flamand",B738)),ISNUMBER(SEARCH("belge",B738)),ISNUMBER(SEARCH("hollandais",B738)),ISNUMBER(SEARCH("néerlandais",B738)),ISNUMBER(SEARCH("allemand",B738)),ISNUMBER(SEARCH("autrichien",B738)),ISNUMBER(SEARCH("suisse",B738)),ISNUMBER(SEARCH("anglais",B738)),ISNUMBER(SEARCH("britannique",B738)),ISNUMBER(SEARCH("écossais",B738)),ISNUMBER(SEARCH("irlandais",B738)),ISNUMBER(SEARCH("russe",B738)),ISNUMBER(SEARCH("portugais",B738)),ISNUMBER(SEARCH("danois",B738)),ISNUMBER(SEARCH("norvégien",B738)),ISNUMBER(SEARCH("suédois",B738)),ISNUMBER(SEARCH("finlandais",B738)),ISNUMBER(SEARCH("polonais",B738)),ISNUMBER(SEARCH("tchèque",B738)),ISNUMBER(SEARCH("hongrois",B738)),ISNUMBER(SEARCH("grec",B738)),ISNUMBER(SEARCH("byzantin",B738)),ISNUMBER(SEARCH("croate",B738)),ISNUMBER(SEARCH("ukrainien",B738)),ISNUMBER(SEARCH("bulgare",B738)),ISNUMBER(SEARCH("biélorusse",B738)),ISNUMBER(SEARCH("maltais",B738))),"Autres pays d'Europe",IF(OR(ISNUMBER(SEARCH("américain",B738)),ISNUMBER(SEARCH("mexicain",B738)),ISNUMBER(SEARCH("canadien",B738)),ISNUMBER(SEARCH("brésilien",B738)),ISNUMBER(SEARCH("argentin",B738))),"Amérique",IF(OR(ISNUMBER(SEARCH("chinois",B738)),ISNUMBER(SEARCH("japonais",B738)),ISNUMBER(SEARCH("coréen",B738)),ISNUMBER(SEARCH("indien",B738)),ISNUMBER(SEARCH("persan",B738)),ISNUMBER(SEARCH("iranien",B738))),"Asie","(non classée)"))))</f>
        <v/>
      </c>
    </row>
    <row r="739">
      <c r="A739" s="2" t="inlineStr">
        <is>
          <t>YVES TANGUY</t>
        </is>
      </c>
      <c r="B739" s="2" t="inlineStr">
        <is>
          <t>française</t>
        </is>
      </c>
      <c r="C739" s="2" t="inlineStr">
        <is>
          <t>peinture</t>
        </is>
      </c>
      <c r="D739" s="2" t="inlineStr">
        <is>
          <t>20e</t>
        </is>
      </c>
      <c r="U739">
        <f>IF(ISNUMBER(SEARCH("fran",B739)),"France",IF(OR(ISNUMBER(SEARCH("italien",B739)),ISNUMBER(SEARCH("espagn",B739)),ISNUMBER(SEARCH("catalan",B739)),ISNUMBER(SEARCH("flamand",B739)),ISNUMBER(SEARCH("belge",B739)),ISNUMBER(SEARCH("hollandais",B739)),ISNUMBER(SEARCH("néerlandais",B739)),ISNUMBER(SEARCH("allemand",B739)),ISNUMBER(SEARCH("autrichien",B739)),ISNUMBER(SEARCH("suisse",B739)),ISNUMBER(SEARCH("anglais",B739)),ISNUMBER(SEARCH("britannique",B739)),ISNUMBER(SEARCH("écossais",B739)),ISNUMBER(SEARCH("irlandais",B739)),ISNUMBER(SEARCH("russe",B739)),ISNUMBER(SEARCH("portugais",B739)),ISNUMBER(SEARCH("danois",B739)),ISNUMBER(SEARCH("norvégien",B739)),ISNUMBER(SEARCH("suédois",B739)),ISNUMBER(SEARCH("finlandais",B739)),ISNUMBER(SEARCH("polonais",B739)),ISNUMBER(SEARCH("tchèque",B739)),ISNUMBER(SEARCH("hongrois",B739)),ISNUMBER(SEARCH("grec",B739)),ISNUMBER(SEARCH("byzantin",B739)),ISNUMBER(SEARCH("croate",B739)),ISNUMBER(SEARCH("ukrainien",B739)),ISNUMBER(SEARCH("bulgare",B739)),ISNUMBER(SEARCH("biélorusse",B739)),ISNUMBER(SEARCH("maltais",B739))),"Autres pays d'Europe",IF(OR(ISNUMBER(SEARCH("américain",B739)),ISNUMBER(SEARCH("mexicain",B739)),ISNUMBER(SEARCH("canadien",B739)),ISNUMBER(SEARCH("brésilien",B739)),ISNUMBER(SEARCH("argentin",B739))),"Amérique",IF(OR(ISNUMBER(SEARCH("chinois",B739)),ISNUMBER(SEARCH("japonais",B739)),ISNUMBER(SEARCH("coréen",B739)),ISNUMBER(SEARCH("indien",B739)),ISNUMBER(SEARCH("persan",B739)),ISNUMBER(SEARCH("iranien",B739))),"Asie","(non classée)"))))</f>
        <v/>
      </c>
    </row>
    <row r="740">
      <c r="A740" s="2" t="inlineStr">
        <is>
          <t>ZHAO MENGFU</t>
        </is>
      </c>
      <c r="B740" s="2" t="inlineStr">
        <is>
          <t>chinoise</t>
        </is>
      </c>
      <c r="C740" s="2" t="inlineStr">
        <is>
          <t>peinture</t>
        </is>
      </c>
      <c r="D740" s="2" t="inlineStr">
        <is>
          <t>14e</t>
        </is>
      </c>
      <c r="U740">
        <f>IF(ISNUMBER(SEARCH("fran",B740)),"France",IF(OR(ISNUMBER(SEARCH("italien",B740)),ISNUMBER(SEARCH("espagn",B740)),ISNUMBER(SEARCH("catalan",B740)),ISNUMBER(SEARCH("flamand",B740)),ISNUMBER(SEARCH("belge",B740)),ISNUMBER(SEARCH("hollandais",B740)),ISNUMBER(SEARCH("néerlandais",B740)),ISNUMBER(SEARCH("allemand",B740)),ISNUMBER(SEARCH("autrichien",B740)),ISNUMBER(SEARCH("suisse",B740)),ISNUMBER(SEARCH("anglais",B740)),ISNUMBER(SEARCH("britannique",B740)),ISNUMBER(SEARCH("écossais",B740)),ISNUMBER(SEARCH("irlandais",B740)),ISNUMBER(SEARCH("russe",B740)),ISNUMBER(SEARCH("portugais",B740)),ISNUMBER(SEARCH("danois",B740)),ISNUMBER(SEARCH("norvégien",B740)),ISNUMBER(SEARCH("suédois",B740)),ISNUMBER(SEARCH("finlandais",B740)),ISNUMBER(SEARCH("polonais",B740)),ISNUMBER(SEARCH("tchèque",B740)),ISNUMBER(SEARCH("hongrois",B740)),ISNUMBER(SEARCH("grec",B740)),ISNUMBER(SEARCH("byzantin",B740)),ISNUMBER(SEARCH("croate",B740)),ISNUMBER(SEARCH("ukrainien",B740)),ISNUMBER(SEARCH("bulgare",B740)),ISNUMBER(SEARCH("biélorusse",B740)),ISNUMBER(SEARCH("maltais",B740))),"Autres pays d'Europe",IF(OR(ISNUMBER(SEARCH("américain",B740)),ISNUMBER(SEARCH("mexicain",B740)),ISNUMBER(SEARCH("canadien",B740)),ISNUMBER(SEARCH("brésilien",B740)),ISNUMBER(SEARCH("argentin",B740))),"Amérique",IF(OR(ISNUMBER(SEARCH("chinois",B740)),ISNUMBER(SEARCH("japonais",B740)),ISNUMBER(SEARCH("coréen",B740)),ISNUMBER(SEARCH("indien",B740)),ISNUMBER(SEARCH("persan",B740)),ISNUMBER(SEARCH("iranien",B740))),"Asie","(non classée)"))))</f>
        <v/>
      </c>
    </row>
    <row r="741">
      <c r="A741" s="2" t="inlineStr">
        <is>
          <t>ZHENG XIE (ZHENG BANQIAO)</t>
        </is>
      </c>
      <c r="B741" s="2" t="inlineStr">
        <is>
          <t>chinoise</t>
        </is>
      </c>
      <c r="C741" s="2" t="inlineStr">
        <is>
          <t>peinture</t>
        </is>
      </c>
      <c r="D741" s="2" t="inlineStr">
        <is>
          <t>18e</t>
        </is>
      </c>
      <c r="U741">
        <f>IF(ISNUMBER(SEARCH("fran",B741)),"France",IF(OR(ISNUMBER(SEARCH("italien",B741)),ISNUMBER(SEARCH("espagn",B741)),ISNUMBER(SEARCH("catalan",B741)),ISNUMBER(SEARCH("flamand",B741)),ISNUMBER(SEARCH("belge",B741)),ISNUMBER(SEARCH("hollandais",B741)),ISNUMBER(SEARCH("néerlandais",B741)),ISNUMBER(SEARCH("allemand",B741)),ISNUMBER(SEARCH("autrichien",B741)),ISNUMBER(SEARCH("suisse",B741)),ISNUMBER(SEARCH("anglais",B741)),ISNUMBER(SEARCH("britannique",B741)),ISNUMBER(SEARCH("écossais",B741)),ISNUMBER(SEARCH("irlandais",B741)),ISNUMBER(SEARCH("russe",B741)),ISNUMBER(SEARCH("portugais",B741)),ISNUMBER(SEARCH("danois",B741)),ISNUMBER(SEARCH("norvégien",B741)),ISNUMBER(SEARCH("suédois",B741)),ISNUMBER(SEARCH("finlandais",B741)),ISNUMBER(SEARCH("polonais",B741)),ISNUMBER(SEARCH("tchèque",B741)),ISNUMBER(SEARCH("hongrois",B741)),ISNUMBER(SEARCH("grec",B741)),ISNUMBER(SEARCH("byzantin",B741)),ISNUMBER(SEARCH("croate",B741)),ISNUMBER(SEARCH("ukrainien",B741)),ISNUMBER(SEARCH("bulgare",B741)),ISNUMBER(SEARCH("biélorusse",B741)),ISNUMBER(SEARCH("maltais",B741))),"Autres pays d'Europe",IF(OR(ISNUMBER(SEARCH("américain",B741)),ISNUMBER(SEARCH("mexicain",B741)),ISNUMBER(SEARCH("canadien",B741)),ISNUMBER(SEARCH("brésilien",B741)),ISNUMBER(SEARCH("argentin",B741))),"Amérique",IF(OR(ISNUMBER(SEARCH("chinois",B741)),ISNUMBER(SEARCH("japonais",B741)),ISNUMBER(SEARCH("coréen",B741)),ISNUMBER(SEARCH("indien",B741)),ISNUMBER(SEARCH("persan",B741)),ISNUMBER(SEARCH("iranien",B741))),"Asie","(non classée)"))))</f>
        <v/>
      </c>
    </row>
    <row r="742">
      <c r="A742" s="2" t="inlineStr">
        <is>
          <t>ÉDOUARD MANET</t>
        </is>
      </c>
      <c r="B742" s="2" t="inlineStr">
        <is>
          <t>française</t>
        </is>
      </c>
      <c r="C742" s="2" t="inlineStr">
        <is>
          <t>peinture</t>
        </is>
      </c>
      <c r="D742" s="2" t="inlineStr">
        <is>
          <t>19e</t>
        </is>
      </c>
      <c r="U742">
        <f>IF(ISNUMBER(SEARCH("fran",B742)),"France",IF(OR(ISNUMBER(SEARCH("italien",B742)),ISNUMBER(SEARCH("espagn",B742)),ISNUMBER(SEARCH("catalan",B742)),ISNUMBER(SEARCH("flamand",B742)),ISNUMBER(SEARCH("belge",B742)),ISNUMBER(SEARCH("hollandais",B742)),ISNUMBER(SEARCH("néerlandais",B742)),ISNUMBER(SEARCH("allemand",B742)),ISNUMBER(SEARCH("autrichien",B742)),ISNUMBER(SEARCH("suisse",B742)),ISNUMBER(SEARCH("anglais",B742)),ISNUMBER(SEARCH("britannique",B742)),ISNUMBER(SEARCH("écossais",B742)),ISNUMBER(SEARCH("irlandais",B742)),ISNUMBER(SEARCH("russe",B742)),ISNUMBER(SEARCH("portugais",B742)),ISNUMBER(SEARCH("danois",B742)),ISNUMBER(SEARCH("norvégien",B742)),ISNUMBER(SEARCH("suédois",B742)),ISNUMBER(SEARCH("finlandais",B742)),ISNUMBER(SEARCH("polonais",B742)),ISNUMBER(SEARCH("tchèque",B742)),ISNUMBER(SEARCH("hongrois",B742)),ISNUMBER(SEARCH("grec",B742)),ISNUMBER(SEARCH("byzantin",B742)),ISNUMBER(SEARCH("croate",B742)),ISNUMBER(SEARCH("ukrainien",B742)),ISNUMBER(SEARCH("bulgare",B742)),ISNUMBER(SEARCH("biélorusse",B742)),ISNUMBER(SEARCH("maltais",B742))),"Autres pays d'Europe",IF(OR(ISNUMBER(SEARCH("américain",B742)),ISNUMBER(SEARCH("mexicain",B742)),ISNUMBER(SEARCH("canadien",B742)),ISNUMBER(SEARCH("brésilien",B742)),ISNUMBER(SEARCH("argentin",B742))),"Amérique",IF(OR(ISNUMBER(SEARCH("chinois",B742)),ISNUMBER(SEARCH("japonais",B742)),ISNUMBER(SEARCH("coréen",B742)),ISNUMBER(SEARCH("indien",B742)),ISNUMBER(SEARCH("persan",B742)),ISNUMBER(SEARCH("iranien",B742))),"Asie","(non classée)"))))</f>
        <v/>
      </c>
    </row>
    <row r="743">
      <c r="A743" s="2" t="inlineStr">
        <is>
          <t>ÉDOUARD VUILLARD</t>
        </is>
      </c>
      <c r="B743" s="2" t="inlineStr">
        <is>
          <t>française</t>
        </is>
      </c>
      <c r="C743" s="2" t="inlineStr">
        <is>
          <t>peinture</t>
        </is>
      </c>
      <c r="D743" s="2" t="inlineStr">
        <is>
          <t>19e</t>
        </is>
      </c>
      <c r="U743">
        <f>IF(ISNUMBER(SEARCH("fran",B743)),"France",IF(OR(ISNUMBER(SEARCH("italien",B743)),ISNUMBER(SEARCH("espagn",B743)),ISNUMBER(SEARCH("catalan",B743)),ISNUMBER(SEARCH("flamand",B743)),ISNUMBER(SEARCH("belge",B743)),ISNUMBER(SEARCH("hollandais",B743)),ISNUMBER(SEARCH("néerlandais",B743)),ISNUMBER(SEARCH("allemand",B743)),ISNUMBER(SEARCH("autrichien",B743)),ISNUMBER(SEARCH("suisse",B743)),ISNUMBER(SEARCH("anglais",B743)),ISNUMBER(SEARCH("britannique",B743)),ISNUMBER(SEARCH("écossais",B743)),ISNUMBER(SEARCH("irlandais",B743)),ISNUMBER(SEARCH("russe",B743)),ISNUMBER(SEARCH("portugais",B743)),ISNUMBER(SEARCH("danois",B743)),ISNUMBER(SEARCH("norvégien",B743)),ISNUMBER(SEARCH("suédois",B743)),ISNUMBER(SEARCH("finlandais",B743)),ISNUMBER(SEARCH("polonais",B743)),ISNUMBER(SEARCH("tchèque",B743)),ISNUMBER(SEARCH("hongrois",B743)),ISNUMBER(SEARCH("grec",B743)),ISNUMBER(SEARCH("byzantin",B743)),ISNUMBER(SEARCH("croate",B743)),ISNUMBER(SEARCH("ukrainien",B743)),ISNUMBER(SEARCH("bulgare",B743)),ISNUMBER(SEARCH("biélorusse",B743)),ISNUMBER(SEARCH("maltais",B743))),"Autres pays d'Europe",IF(OR(ISNUMBER(SEARCH("américain",B743)),ISNUMBER(SEARCH("mexicain",B743)),ISNUMBER(SEARCH("canadien",B743)),ISNUMBER(SEARCH("brésilien",B743)),ISNUMBER(SEARCH("argentin",B743))),"Amérique",IF(OR(ISNUMBER(SEARCH("chinois",B743)),ISNUMBER(SEARCH("japonais",B743)),ISNUMBER(SEARCH("coréen",B743)),ISNUMBER(SEARCH("indien",B743)),ISNUMBER(SEARCH("persan",B743)),ISNUMBER(SEARCH("iranien",B743))),"Asie","(non classée)"))))</f>
        <v/>
      </c>
    </row>
    <row r="744">
      <c r="A744" s="2" t="inlineStr">
        <is>
          <t>ÉLISABETH VIGEE LE BRUN</t>
        </is>
      </c>
      <c r="B744" s="2" t="inlineStr">
        <is>
          <t>française</t>
        </is>
      </c>
      <c r="C744" s="2" t="inlineStr">
        <is>
          <t>peinture</t>
        </is>
      </c>
      <c r="D744" s="2" t="inlineStr">
        <is>
          <t>18e</t>
        </is>
      </c>
      <c r="U744">
        <f>IF(ISNUMBER(SEARCH("fran",B744)),"France",IF(OR(ISNUMBER(SEARCH("italien",B744)),ISNUMBER(SEARCH("espagn",B744)),ISNUMBER(SEARCH("catalan",B744)),ISNUMBER(SEARCH("flamand",B744)),ISNUMBER(SEARCH("belge",B744)),ISNUMBER(SEARCH("hollandais",B744)),ISNUMBER(SEARCH("néerlandais",B744)),ISNUMBER(SEARCH("allemand",B744)),ISNUMBER(SEARCH("autrichien",B744)),ISNUMBER(SEARCH("suisse",B744)),ISNUMBER(SEARCH("anglais",B744)),ISNUMBER(SEARCH("britannique",B744)),ISNUMBER(SEARCH("écossais",B744)),ISNUMBER(SEARCH("irlandais",B744)),ISNUMBER(SEARCH("russe",B744)),ISNUMBER(SEARCH("portugais",B744)),ISNUMBER(SEARCH("danois",B744)),ISNUMBER(SEARCH("norvégien",B744)),ISNUMBER(SEARCH("suédois",B744)),ISNUMBER(SEARCH("finlandais",B744)),ISNUMBER(SEARCH("polonais",B744)),ISNUMBER(SEARCH("tchèque",B744)),ISNUMBER(SEARCH("hongrois",B744)),ISNUMBER(SEARCH("grec",B744)),ISNUMBER(SEARCH("byzantin",B744)),ISNUMBER(SEARCH("croate",B744)),ISNUMBER(SEARCH("ukrainien",B744)),ISNUMBER(SEARCH("bulgare",B744)),ISNUMBER(SEARCH("biélorusse",B744)),ISNUMBER(SEARCH("maltais",B744))),"Autres pays d'Europe",IF(OR(ISNUMBER(SEARCH("américain",B744)),ISNUMBER(SEARCH("mexicain",B744)),ISNUMBER(SEARCH("canadien",B744)),ISNUMBER(SEARCH("brésilien",B744)),ISNUMBER(SEARCH("argentin",B744))),"Amérique",IF(OR(ISNUMBER(SEARCH("chinois",B744)),ISNUMBER(SEARCH("japonais",B744)),ISNUMBER(SEARCH("coréen",B744)),ISNUMBER(SEARCH("indien",B744)),ISNUMBER(SEARCH("persan",B744)),ISNUMBER(SEARCH("iranien",B744))),"Asie","(non classée)"))))</f>
        <v/>
      </c>
    </row>
    <row r="745">
      <c r="A745" s="2" t="inlineStr">
        <is>
          <t>ÉTIENNE MAURICE FALCONET</t>
        </is>
      </c>
      <c r="B745" s="2" t="inlineStr">
        <is>
          <t>française</t>
        </is>
      </c>
      <c r="C745" s="2" t="inlineStr">
        <is>
          <t>sculpture</t>
        </is>
      </c>
      <c r="D745" s="2" t="inlineStr">
        <is>
          <t>18e</t>
        </is>
      </c>
      <c r="U745">
        <f>IF(ISNUMBER(SEARCH("fran",B745)),"France",IF(OR(ISNUMBER(SEARCH("italien",B745)),ISNUMBER(SEARCH("espagn",B745)),ISNUMBER(SEARCH("catalan",B745)),ISNUMBER(SEARCH("flamand",B745)),ISNUMBER(SEARCH("belge",B745)),ISNUMBER(SEARCH("hollandais",B745)),ISNUMBER(SEARCH("néerlandais",B745)),ISNUMBER(SEARCH("allemand",B745)),ISNUMBER(SEARCH("autrichien",B745)),ISNUMBER(SEARCH("suisse",B745)),ISNUMBER(SEARCH("anglais",B745)),ISNUMBER(SEARCH("britannique",B745)),ISNUMBER(SEARCH("écossais",B745)),ISNUMBER(SEARCH("irlandais",B745)),ISNUMBER(SEARCH("russe",B745)),ISNUMBER(SEARCH("portugais",B745)),ISNUMBER(SEARCH("danois",B745)),ISNUMBER(SEARCH("norvégien",B745)),ISNUMBER(SEARCH("suédois",B745)),ISNUMBER(SEARCH("finlandais",B745)),ISNUMBER(SEARCH("polonais",B745)),ISNUMBER(SEARCH("tchèque",B745)),ISNUMBER(SEARCH("hongrois",B745)),ISNUMBER(SEARCH("grec",B745)),ISNUMBER(SEARCH("byzantin",B745)),ISNUMBER(SEARCH("croate",B745)),ISNUMBER(SEARCH("ukrainien",B745)),ISNUMBER(SEARCH("bulgare",B745)),ISNUMBER(SEARCH("biélorusse",B745)),ISNUMBER(SEARCH("maltais",B745))),"Autres pays d'Europe",IF(OR(ISNUMBER(SEARCH("américain",B745)),ISNUMBER(SEARCH("mexicain",B745)),ISNUMBER(SEARCH("canadien",B745)),ISNUMBER(SEARCH("brésilien",B745)),ISNUMBER(SEARCH("argentin",B745))),"Amérique",IF(OR(ISNUMBER(SEARCH("chinois",B745)),ISNUMBER(SEARCH("japonais",B745)),ISNUMBER(SEARCH("coréen",B745)),ISNUMBER(SEARCH("indien",B745)),ISNUMBER(SEARCH("persan",B745)),ISNUMBER(SEARCH("iranien",B745))),"Asie","(non classée)"))))</f>
        <v/>
      </c>
    </row>
  </sheetData>
  <mergeCells count="24">
    <mergeCell ref="O7:P7"/>
    <mergeCell ref="Q7:R7"/>
    <mergeCell ref="G27:H27"/>
    <mergeCell ref="I27:J27"/>
    <mergeCell ref="S27:T27"/>
    <mergeCell ref="F26:T26"/>
    <mergeCell ref="G17:H17"/>
    <mergeCell ref="S17:T17"/>
    <mergeCell ref="G7:H7"/>
    <mergeCell ref="S7:T7"/>
    <mergeCell ref="I7:J7"/>
    <mergeCell ref="M7:N7"/>
    <mergeCell ref="K27:L27"/>
    <mergeCell ref="M27:N27"/>
    <mergeCell ref="O27:P27"/>
    <mergeCell ref="Q27:R27"/>
    <mergeCell ref="I17:J17"/>
    <mergeCell ref="K17:L17"/>
    <mergeCell ref="M17:N17"/>
    <mergeCell ref="O17:P17"/>
    <mergeCell ref="K7:L7"/>
    <mergeCell ref="Q17:R17"/>
    <mergeCell ref="F16:T16"/>
    <mergeCell ref="F6:T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2026-09-01T19:50:30Z</dcterms:created>
  <dcterms:modified xmlns:dcterms="http://purl.org/dc/terms/" xmlns:xsi="http://www.w3.org/2001/XMLSchema-instance" xsi:type="dcterms:W3CDTF">2026-09-01T20:50:09Z</dcterms:modified>
  <cp:lastModifiedBy>Stephane Tassi</cp:lastModifiedBy>
</cp:coreProperties>
</file>